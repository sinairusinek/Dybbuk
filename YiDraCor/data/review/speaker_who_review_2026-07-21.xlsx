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issing who" sheetId="2" state="visible" r:id="rId2"/>
    <sheet xmlns:r="http://schemas.openxmlformats.org/officeDocument/2006/relationships" name="Roles" sheetId="3" state="hidden" r:id="rId3"/>
    <sheet xmlns:r="http://schemas.openxmlformats.org/officeDocument/2006/relationships" name="Mappings to check" sheetId="4" state="visible" r:id="rId4"/>
  </sheets>
  <definedNames>
    <definedName name="Roles_1">Roles!$A$2:$A$19</definedName>
    <definedName name="Roles_2">Roles!$B$2:$B$24</definedName>
    <definedName name="Roles_3">Roles!$C$2:$C$29</definedName>
    <definedName name="Roles_4">Roles!$D$2:$D$8</definedName>
    <definedName name="Roles_5">Roles!$E$2:$E$30</definedName>
    <definedName name="Roles_6">Roles!$F$2:$F$34</definedName>
    <definedName name="Roles_7">Roles!$G$2:$G$22</definedName>
    <definedName name="Roles_8">Roles!$H$2:$H$24</definedName>
    <definedName name="Roles_9">Roles!$I$2:$I$33</definedName>
    <definedName name="Roles_10">Roles!$J$2:$J$25</definedName>
    <definedName name="Roles_11">Roles!$K$2:$K$24</definedName>
    <definedName name="Roles_12">Roles!$L$2:$L$24</definedName>
    <definedName name="Roles_13">Roles!$M$2:$M$24</definedName>
    <definedName name="Roles_14">Roles!$N$2:$N$20</definedName>
    <definedName name="Roles_15">Roles!$O$2:$O$26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Speaker-who review — YiDraCor (2026-07-21)</t>
        </is>
      </c>
    </row>
    <row r="2">
      <c r="A2" t="inlineStr"/>
    </row>
    <row r="3">
      <c r="A3" t="inlineStr">
        <is>
          <t>Tab 'Missing who': speaker spans with NO who at all. Please pick the right role from the dropdown in column F.</t>
        </is>
      </c>
    </row>
    <row r="4">
      <c r="A4" t="inlineStr">
        <is>
          <t>Tab 'Mappings to check': every distinct speaker label whose assigned who is NOT obviously its own name (pronouns, epithets, nicknames, odd spellings). If the current who (column C) is right, leave column F EMPTY. If wrong, pick the right role from the dropdown in column F.</t>
        </is>
      </c>
    </row>
    <row r="5">
      <c r="A5" t="inlineStr"/>
    </row>
    <row r="6">
      <c r="A6" t="inlineStr">
        <is>
          <t>The dropdown lists the roles of that row's play. Special options: '?? unsure', 'XX not a speaker', '++ new role' — for these please add a word in Notes.</t>
        </is>
      </c>
    </row>
    <row r="7">
      <c r="A7" t="inlineStr">
        <is>
          <t>'Count' = how many speeches in the play use this exact label→who mapping; your answer applies to all of them.</t>
        </is>
      </c>
    </row>
    <row r="8">
      <c r="A8" t="inlineStr">
        <is>
          <t>'Example link' opens the first page in Transkribus where the mapping occurs.</t>
        </is>
      </c>
    </row>
    <row r="9">
      <c r="A9" t="inlineStr"/>
    </row>
    <row r="10">
      <c r="A10" t="inlineStr">
        <is>
          <t>Not shown here: 385 mappings where the label is simply the role's own name (exact/near-exact match) — kept in the repo (speaker_who_mappings_trivial TSV); tell Sinai if you want them too.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8" customWidth="1" min="3" max="3"/>
    <col width="18" customWidth="1" min="4" max="4"/>
    <col width="55" customWidth="1" min="5" max="5"/>
    <col width="26" customWidth="1" min="6" max="6"/>
    <col width="30" customWidth="1" min="7" max="7"/>
    <col width="14" customWidth="1" min="8" max="8"/>
    <col width="22" customWidth="1" min="9" max="9"/>
  </cols>
  <sheetData>
    <row r="1">
      <c r="A1" s="2" t="inlineStr">
        <is>
          <t>Play</t>
        </is>
      </c>
      <c r="B1" s="2" t="inlineStr">
        <is>
          <t>Page</t>
        </is>
      </c>
      <c r="C1" s="2" t="inlineStr">
        <is>
          <t>Link</t>
        </is>
      </c>
      <c r="D1" s="2" t="inlineStr">
        <is>
          <t>Speaker label</t>
        </is>
      </c>
      <c r="E1" s="2" t="inlineStr">
        <is>
          <t>Full line</t>
        </is>
      </c>
      <c r="F1" s="2" t="inlineStr">
        <is>
          <t>Choose who ▼</t>
        </is>
      </c>
      <c r="G1" s="2" t="inlineStr">
        <is>
          <t>Notes</t>
        </is>
      </c>
      <c r="H1" s="2" t="inlineStr">
        <is>
          <t>line_id</t>
        </is>
      </c>
      <c r="I1" s="2" t="inlineStr">
        <is>
          <t>file</t>
        </is>
      </c>
    </row>
    <row r="2">
      <c r="A2" t="inlineStr">
        <is>
          <t>Blimele-AhronFaust1903</t>
        </is>
      </c>
      <c r="B2" t="n">
        <v>27</v>
      </c>
      <c r="C2">
        <f>HYPERLINK("https://app.transkribus.org/collection/2372172/doc/828455/detail/27", "p.27")</f>
        <v/>
      </c>
      <c r="D2" s="3" t="inlineStr">
        <is>
          <t>מענער קאר</t>
        </is>
      </c>
      <c r="E2" t="inlineStr">
        <is>
          <t>מענער קאר:</t>
        </is>
      </c>
      <c r="H2" t="inlineStr">
        <is>
          <t>line_1649535651843_3345</t>
        </is>
      </c>
      <c r="I2" t="inlineStr">
        <is>
          <t>0027_30805041.xml</t>
        </is>
      </c>
    </row>
    <row r="3">
      <c r="A3" t="inlineStr">
        <is>
          <t>Blimele-AhronFaust1903</t>
        </is>
      </c>
      <c r="B3" t="n">
        <v>27</v>
      </c>
      <c r="C3">
        <f>HYPERLINK("https://app.transkribus.org/collection/2372172/doc/828455/detail/27", "p.27")</f>
        <v/>
      </c>
      <c r="D3" s="3" t="inlineStr">
        <is>
          <t>דאמען קאר</t>
        </is>
      </c>
      <c r="E3" t="inlineStr">
        <is>
          <t>דאמען קאר:</t>
        </is>
      </c>
      <c r="H3" t="inlineStr">
        <is>
          <t>line_1649535558270_3263</t>
        </is>
      </c>
      <c r="I3" t="inlineStr">
        <is>
          <t>0027_30805041.xml</t>
        </is>
      </c>
    </row>
    <row r="4">
      <c r="A4" t="inlineStr">
        <is>
          <t>Blimele-AhronFaust1903</t>
        </is>
      </c>
      <c r="B4" t="n">
        <v>33</v>
      </c>
      <c r="C4">
        <f>HYPERLINK("https://app.transkribus.org/collection/2372172/doc/828455/detail/33", "p.33")</f>
        <v/>
      </c>
      <c r="D4" s="3" t="inlineStr">
        <is>
          <t>יעגער קאר</t>
        </is>
      </c>
      <c r="E4" t="inlineStr">
        <is>
          <t>יעגער קאר: פארווערטס פארווערטס מוטהיג אויף דיא יאגד</t>
        </is>
      </c>
      <c r="H4" t="inlineStr">
        <is>
          <t>r_1_1l14</t>
        </is>
      </c>
      <c r="I4" t="inlineStr">
        <is>
          <t>0033_30805047.xml</t>
        </is>
      </c>
    </row>
    <row r="5">
      <c r="A5" t="inlineStr">
        <is>
          <t>Blimele-AhronFaust1903</t>
        </is>
      </c>
      <c r="B5" t="n">
        <v>41</v>
      </c>
      <c r="C5">
        <f>HYPERLINK("https://app.transkribus.org/collection/2372172/doc/828455/detail/41", "p.41")</f>
        <v/>
      </c>
      <c r="D5" s="3" t="inlineStr">
        <is>
          <t>אַלע צוזאמען</t>
        </is>
      </c>
      <c r="E5" t="inlineStr">
        <is>
          <t>אַלע צוזאמען: צוּ וֶוערֶען מִיר דֶען פֶעהִיג אֵיין מארְד צוּ בּעגעהען?</t>
        </is>
      </c>
      <c r="H5" t="inlineStr">
        <is>
          <t>r_1_1l19</t>
        </is>
      </c>
      <c r="I5" t="inlineStr">
        <is>
          <t>0041_30805055.xml</t>
        </is>
      </c>
    </row>
    <row r="6">
      <c r="A6" t="inlineStr">
        <is>
          <t>Di_seyder_nakht_Emkroyt_1908</t>
        </is>
      </c>
      <c r="B6" t="n">
        <v>65</v>
      </c>
      <c r="C6">
        <f>HYPERLINK("https://app.transkribus.org/collection/2372172/doc/828503/detail/65", "p.65")</f>
        <v/>
      </c>
      <c r="D6" s="3" t="inlineStr">
        <is>
          <t>דער שדכן</t>
        </is>
      </c>
      <c r="E6" t="inlineStr">
        <is>
          <t>דער שדכן.</t>
        </is>
      </c>
      <c r="H6" t="inlineStr">
        <is>
          <t>TextRegion_1649533891997_1934l27</t>
        </is>
      </c>
      <c r="I6" t="inlineStr">
        <is>
          <t>0065_30808420.xml</t>
        </is>
      </c>
    </row>
    <row r="7">
      <c r="A7" t="inlineStr">
        <is>
          <t>Di_seyder_nakht_Emkroyt_1908</t>
        </is>
      </c>
      <c r="B7" t="n">
        <v>65</v>
      </c>
      <c r="C7">
        <f>HYPERLINK("https://app.transkribus.org/collection/2372172/doc/828503/detail/65", "p.65")</f>
        <v/>
      </c>
      <c r="D7" s="3" t="inlineStr">
        <is>
          <t>דער שדכן.</t>
        </is>
      </c>
      <c r="E7" t="inlineStr">
        <is>
          <t>דער שדכן.</t>
        </is>
      </c>
      <c r="H7" t="inlineStr">
        <is>
          <t>TextRegion_1649533891997_1934l27</t>
        </is>
      </c>
      <c r="I7" t="inlineStr">
        <is>
          <t>0065_OTgwNjMyNTk.111102563.xml</t>
        </is>
      </c>
    </row>
    <row r="8">
      <c r="A8" t="inlineStr">
        <is>
          <t>DosYudisheHerts-1910</t>
        </is>
      </c>
      <c r="B8" t="n">
        <v>5</v>
      </c>
      <c r="C8">
        <f>HYPERLINK("https://app.transkribus.org/collection/2372172/doc/820841/detail/5", "p.5")</f>
        <v/>
      </c>
      <c r="D8" s="3" t="inlineStr">
        <is>
          <t>פֿרויען</t>
        </is>
      </c>
      <c r="E8" t="inlineStr">
        <is>
          <t>פֿרויען: מיִר טְריִנְקעֶן אַלעֶ פאַר אַלעטענס געזוּנד.</t>
        </is>
      </c>
      <c r="H8" t="inlineStr">
        <is>
          <t>r1l21</t>
        </is>
      </c>
      <c r="I8" t="inlineStr">
        <is>
          <t>0005_30622156.xml</t>
        </is>
      </c>
    </row>
    <row r="9">
      <c r="A9" t="inlineStr">
        <is>
          <t>DosYudisheHerts-1910</t>
        </is>
      </c>
      <c r="B9" t="n">
        <v>5</v>
      </c>
      <c r="C9">
        <f>HYPERLINK("https://app.transkribus.org/collection/2372172/doc/820841/detail/5", "p.5")</f>
        <v/>
      </c>
      <c r="D9" s="3" t="inlineStr">
        <is>
          <t>אַנדערע</t>
        </is>
      </c>
      <c r="E9" t="inlineStr">
        <is>
          <t>אַנדערע: אוּן אָן אוּנז פעֶרְגעֶסְט ניִט אַצוּנד. מיִר טְריִנ⸗</t>
        </is>
      </c>
      <c r="H9" t="inlineStr">
        <is>
          <t>r1l23</t>
        </is>
      </c>
      <c r="I9" t="inlineStr">
        <is>
          <t>0005_30622156.xml</t>
        </is>
      </c>
    </row>
    <row r="10">
      <c r="A10" t="inlineStr">
        <is>
          <t>DosYudisheHerts-1910</t>
        </is>
      </c>
      <c r="B10" t="n">
        <v>65</v>
      </c>
      <c r="C10">
        <f>HYPERLINK("https://app.transkribus.org/collection/2372172/doc/820841/detail/65", "p.65")</f>
        <v/>
      </c>
      <c r="D10" s="3" t="inlineStr">
        <is>
          <t>ראָזעלע</t>
        </is>
      </c>
      <c r="E10" t="inlineStr">
        <is>
          <t>ראָזעלע: דאָ בּין איִך, מיין הערמאַן!</t>
        </is>
      </c>
      <c r="H10" t="inlineStr">
        <is>
          <t>r1l10</t>
        </is>
      </c>
      <c r="I10" t="inlineStr">
        <is>
          <t>0065_30622288.xml</t>
        </is>
      </c>
    </row>
    <row r="11">
      <c r="A11" t="inlineStr">
        <is>
          <t>DosYudisheHerts-1910</t>
        </is>
      </c>
      <c r="B11" t="n">
        <v>68</v>
      </c>
      <c r="C11">
        <f>HYPERLINK("https://app.transkribus.org/collection/2372172/doc/820841/detail/68", "p.68")</f>
        <v/>
      </c>
      <c r="D11" s="3" t="inlineStr">
        <is>
          <t>ראָזעלע</t>
        </is>
      </c>
      <c r="E11" t="inlineStr">
        <is>
          <t>ראָזעלע: קוּם, איִך וֶועל דיִר הֶעלְפֶען זִיך אָנטהוּן, וֶועסְטוּ</t>
        </is>
      </c>
      <c r="H11" t="inlineStr">
        <is>
          <t>r1l3</t>
        </is>
      </c>
      <c r="I11" t="inlineStr">
        <is>
          <t>0068_30622313.xml</t>
        </is>
      </c>
    </row>
    <row r="12">
      <c r="A12" t="inlineStr">
        <is>
          <t>HinkePinke</t>
        </is>
      </c>
      <c r="B12" t="n">
        <v>5</v>
      </c>
      <c r="C12">
        <f>HYPERLINK("https://app.transkribus.org/collection/2372172/doc/820969/detail/5", "p.5")</f>
        <v/>
      </c>
      <c r="D12" s="3" t="inlineStr">
        <is>
          <t>יעגער-כאר</t>
        </is>
      </c>
      <c r="E12" t="inlineStr">
        <is>
          <t>יעגער-כאר: צוּ דעֶר יאַגד מארשירען וויִר,</t>
        </is>
      </c>
      <c r="H12" t="inlineStr">
        <is>
          <t>r_3_1l4</t>
        </is>
      </c>
      <c r="I12" t="inlineStr">
        <is>
          <t>0005_30627484.xml</t>
        </is>
      </c>
    </row>
    <row r="13">
      <c r="A13" t="inlineStr">
        <is>
          <t>KidushHashem</t>
        </is>
      </c>
      <c r="B13" t="n">
        <v>8</v>
      </c>
      <c r="C13">
        <f>HYPERLINK("https://app.transkribus.org/collection/2372172/doc/820939/detail/8", "p.8")</f>
        <v/>
      </c>
      <c r="D13" s="3" t="inlineStr">
        <is>
          <t>טאביאס</t>
        </is>
      </c>
      <c r="E13" t="inlineStr">
        <is>
          <t>טאביאס : איךְ זאָג שוֹין גאָר נִישט, אִיךְ זאָג נוּר דאָס, וואָס אַלע זאָגען.</t>
        </is>
      </c>
      <c r="H13" t="inlineStr">
        <is>
          <t>r1l2</t>
        </is>
      </c>
      <c r="I13" t="inlineStr">
        <is>
          <t>0008_Kidush ha-shem - operete in 5 akten - 1909 -1-BN_63.390_0001_Page_08.xml</t>
        </is>
      </c>
    </row>
    <row r="14">
      <c r="A14" t="inlineStr">
        <is>
          <t>KidushHashem</t>
        </is>
      </c>
      <c r="B14" t="n">
        <v>8</v>
      </c>
      <c r="C14">
        <f>HYPERLINK("https://app.transkribus.org/collection/2372172/doc/820939/detail/8", "p.8")</f>
        <v/>
      </c>
      <c r="D14" s="3" t="inlineStr">
        <is>
          <t>טאביאס:</t>
        </is>
      </c>
      <c r="E14" t="inlineStr">
        <is>
          <t>טאביאס: דאָס וואָס איךְ זאָג... אוּן אִיך זאָג דאָס וואָס אַלע זאָגען:</t>
        </is>
      </c>
      <c r="H14" t="inlineStr">
        <is>
          <t>r1l4</t>
        </is>
      </c>
      <c r="I14" t="inlineStr">
        <is>
          <t>0008_Kidush ha-shem - operete in 5 akten - 1909 -1-BN_63.390_0001_Page_08.xml</t>
        </is>
      </c>
    </row>
    <row r="15">
      <c r="A15" t="inlineStr">
        <is>
          <t>דאס_יידישע_קינד_Dos_yudishe_kind_a_komishe_operete</t>
        </is>
      </c>
      <c r="B15" t="n">
        <v>12</v>
      </c>
      <c r="C15">
        <f>HYPERLINK("https://app.transkribus.org/collection/2372172/doc/828424/detail/12", "p.12")</f>
        <v/>
      </c>
      <c r="D15" s="3" t="inlineStr">
        <is>
          <t>רב זִינְגְט</t>
        </is>
      </c>
      <c r="E15" t="inlineStr">
        <is>
          <t>רב זִינְגְט:</t>
        </is>
      </c>
      <c r="H15" t="inlineStr">
        <is>
          <t>r_3_1_tl_19</t>
        </is>
      </c>
      <c r="I15" t="inlineStr">
        <is>
          <t>0012_30804058.xml</t>
        </is>
      </c>
    </row>
    <row r="16">
      <c r="A16" t="inlineStr">
        <is>
          <t>דאס_יידישע_קינד_Dos_yudishe_kind_a_komishe_operete</t>
        </is>
      </c>
      <c r="B16" t="n">
        <v>12</v>
      </c>
      <c r="C16">
        <f>HYPERLINK("https://app.transkribus.org/collection/2372172/doc/828424/detail/12", "p.12")</f>
        <v/>
      </c>
      <c r="D16" s="3" t="inlineStr">
        <is>
          <t>זַיי</t>
        </is>
      </c>
      <c r="E16" t="inlineStr">
        <is>
          <t>זַיי:</t>
        </is>
      </c>
      <c r="H16" t="inlineStr">
        <is>
          <t>l</t>
        </is>
      </c>
      <c r="I16" t="inlineStr">
        <is>
          <t>0012_30804058.xml</t>
        </is>
      </c>
    </row>
    <row r="17">
      <c r="A17" t="inlineStr">
        <is>
          <t>דאס_יידישע_קינד_Dos_yudishe_kind_a_komishe_operete</t>
        </is>
      </c>
      <c r="B17" t="n">
        <v>32</v>
      </c>
      <c r="C17">
        <f>HYPERLINK("https://app.transkribus.org/collection/2372172/doc/828424/detail/32", "p.32")</f>
        <v/>
      </c>
      <c r="D17" s="3" t="inlineStr">
        <is>
          <t>זי</t>
        </is>
      </c>
      <c r="E17" t="inlineStr">
        <is>
          <t>זי:</t>
        </is>
      </c>
      <c r="H17" t="inlineStr">
        <is>
          <t>l_10</t>
        </is>
      </c>
      <c r="I17" t="inlineStr">
        <is>
          <t>0032_30804103.xml</t>
        </is>
      </c>
    </row>
    <row r="18">
      <c r="A18" t="inlineStr">
        <is>
          <t>דאס_יידישע_קינד_Dos_yudishe_kind_a_komishe_operete</t>
        </is>
      </c>
      <c r="B18" t="n">
        <v>32</v>
      </c>
      <c r="C18">
        <f>HYPERLINK("https://app.transkribus.org/collection/2372172/doc/828424/detail/32", "p.32")</f>
        <v/>
      </c>
      <c r="D18" s="3" t="inlineStr">
        <is>
          <t>ער</t>
        </is>
      </c>
      <c r="E18" t="inlineStr">
        <is>
          <t>ער:</t>
        </is>
      </c>
      <c r="H18" t="inlineStr">
        <is>
          <t>l_8</t>
        </is>
      </c>
      <c r="I18" t="inlineStr">
        <is>
          <t>0032_30804103.xml</t>
        </is>
      </c>
    </row>
    <row r="19">
      <c r="A19" t="inlineStr">
        <is>
          <t>דאס_יידישע_קינד_Dos_yudishe_kind_a_komishe_operete</t>
        </is>
      </c>
      <c r="B19" t="n">
        <v>32</v>
      </c>
      <c r="C19">
        <f>HYPERLINK("https://app.transkribus.org/collection/2372172/doc/828424/detail/32", "p.32")</f>
        <v/>
      </c>
      <c r="D19" s="3" t="inlineStr">
        <is>
          <t>ער</t>
        </is>
      </c>
      <c r="E19" t="inlineStr">
        <is>
          <t>ער:</t>
        </is>
      </c>
      <c r="H19" t="inlineStr">
        <is>
          <t>l_4</t>
        </is>
      </c>
      <c r="I19" t="inlineStr">
        <is>
          <t>0032_30804103.xml</t>
        </is>
      </c>
    </row>
    <row r="20">
      <c r="A20" t="inlineStr">
        <is>
          <t>דאס_יידישע_קינד_Dos_yudishe_kind_a_komishe_operete</t>
        </is>
      </c>
      <c r="B20" t="n">
        <v>32</v>
      </c>
      <c r="C20">
        <f>HYPERLINK("https://app.transkribus.org/collection/2372172/doc/828424/detail/32", "p.32")</f>
        <v/>
      </c>
      <c r="D20" s="3" t="inlineStr">
        <is>
          <t>זי</t>
        </is>
      </c>
      <c r="E20" t="inlineStr">
        <is>
          <t>זי:</t>
        </is>
      </c>
      <c r="H20" t="inlineStr">
        <is>
          <t>l_2</t>
        </is>
      </c>
      <c r="I20" t="inlineStr">
        <is>
          <t>0032_30804103.xml</t>
        </is>
      </c>
    </row>
    <row r="21">
      <c r="A21" t="inlineStr">
        <is>
          <t>דאס_יידישע_קינד_Dos_yudishe_kind_a_komishe_operete</t>
        </is>
      </c>
      <c r="B21" t="n">
        <v>33</v>
      </c>
      <c r="C21">
        <f>HYPERLINK("https://app.transkribus.org/collection/2372172/doc/828424/detail/33", "p.33")</f>
        <v/>
      </c>
      <c r="D21" s="3" t="inlineStr">
        <is>
          <t>זי</t>
        </is>
      </c>
      <c r="E21" t="inlineStr">
        <is>
          <t>זי:</t>
        </is>
      </c>
      <c r="H21" t="inlineStr">
        <is>
          <t>l_3</t>
        </is>
      </c>
      <c r="I21" t="inlineStr">
        <is>
          <t>0033_30804106.xml</t>
        </is>
      </c>
    </row>
    <row r="22">
      <c r="A22" t="inlineStr">
        <is>
          <t>דאס_יידישע_קינד_Dos_yudishe_kind_a_komishe_operete</t>
        </is>
      </c>
      <c r="B22" t="n">
        <v>33</v>
      </c>
      <c r="C22">
        <f>HYPERLINK("https://app.transkribus.org/collection/2372172/doc/828424/detail/33", "p.33")</f>
        <v/>
      </c>
      <c r="D22" s="3" t="inlineStr">
        <is>
          <t>זי</t>
        </is>
      </c>
      <c r="E22" t="inlineStr">
        <is>
          <t>זי:</t>
        </is>
      </c>
      <c r="H22" t="inlineStr">
        <is>
          <t>r_4_1_tl_4</t>
        </is>
      </c>
      <c r="I22" t="inlineStr">
        <is>
          <t>0033_30804106.xml</t>
        </is>
      </c>
    </row>
    <row r="23">
      <c r="A23" t="inlineStr">
        <is>
          <t>דאס_יידישע_קינד_Dos_yudishe_kind_a_komishe_operete</t>
        </is>
      </c>
      <c r="B23" t="n">
        <v>33</v>
      </c>
      <c r="C23">
        <f>HYPERLINK("https://app.transkribus.org/collection/2372172/doc/828424/detail/33", "p.33")</f>
        <v/>
      </c>
      <c r="D23" s="3" t="inlineStr">
        <is>
          <t>זי</t>
        </is>
      </c>
      <c r="E23" t="inlineStr">
        <is>
          <t>זי:</t>
        </is>
      </c>
      <c r="H23" t="inlineStr">
        <is>
          <t>l_5</t>
        </is>
      </c>
      <c r="I23" t="inlineStr">
        <is>
          <t>0033_30804106.xml</t>
        </is>
      </c>
    </row>
    <row r="24">
      <c r="A24" t="inlineStr">
        <is>
          <t>דאס_יידישע_קינד_Dos_yudishe_kind_a_komishe_operete</t>
        </is>
      </c>
      <c r="B24" t="n">
        <v>50</v>
      </c>
      <c r="C24">
        <f>HYPERLINK("https://app.transkribus.org/collection/2372172/doc/828424/detail/50", "p.50")</f>
        <v/>
      </c>
      <c r="D24" s="3" t="inlineStr">
        <is>
          <t>ער</t>
        </is>
      </c>
      <c r="E24" t="inlineStr">
        <is>
          <t>ער:</t>
        </is>
      </c>
      <c r="H24" t="inlineStr">
        <is>
          <t>l_1</t>
        </is>
      </c>
      <c r="I24" t="inlineStr">
        <is>
          <t>0050_30804308.xml</t>
        </is>
      </c>
    </row>
    <row r="25">
      <c r="A25" t="inlineStr">
        <is>
          <t>דאס_יידישע_קינד_Dos_yudishe_kind_a_komishe_operete</t>
        </is>
      </c>
      <c r="B25" t="n">
        <v>50</v>
      </c>
      <c r="C25">
        <f>HYPERLINK("https://app.transkribus.org/collection/2372172/doc/828424/detail/50", "p.50")</f>
        <v/>
      </c>
      <c r="D25" s="3" t="inlineStr">
        <is>
          <t>זי</t>
        </is>
      </c>
      <c r="E25" t="inlineStr">
        <is>
          <t>זי:</t>
        </is>
      </c>
      <c r="H25" t="inlineStr">
        <is>
          <t>l_2</t>
        </is>
      </c>
      <c r="I25" t="inlineStr">
        <is>
          <t>0050_30804308.xml</t>
        </is>
      </c>
    </row>
    <row r="26">
      <c r="A26" t="inlineStr">
        <is>
          <t>דאס_יידישע_קינד_Dos_yudishe_kind_a_komishe_operete</t>
        </is>
      </c>
      <c r="B26" t="n">
        <v>51</v>
      </c>
      <c r="C26">
        <f>HYPERLINK("https://app.transkribus.org/collection/2372172/doc/828424/detail/51", "p.51")</f>
        <v/>
      </c>
      <c r="D26" s="3" t="inlineStr">
        <is>
          <t>ער</t>
        </is>
      </c>
      <c r="E26" t="inlineStr">
        <is>
          <t>ער:</t>
        </is>
      </c>
      <c r="H26" t="inlineStr">
        <is>
          <t>l_3</t>
        </is>
      </c>
      <c r="I26" t="inlineStr">
        <is>
          <t>0051_30804319.xml</t>
        </is>
      </c>
    </row>
    <row r="27">
      <c r="A27" t="inlineStr">
        <is>
          <t>דאס_יידישע_קינד_Dos_yudishe_kind_a_komishe_operete</t>
        </is>
      </c>
      <c r="B27" t="n">
        <v>51</v>
      </c>
      <c r="C27">
        <f>HYPERLINK("https://app.transkribus.org/collection/2372172/doc/828424/detail/51", "p.51")</f>
        <v/>
      </c>
      <c r="D27" s="3" t="inlineStr">
        <is>
          <t>זי</t>
        </is>
      </c>
      <c r="E27" t="inlineStr">
        <is>
          <t>זי:</t>
        </is>
      </c>
      <c r="H27" t="inlineStr">
        <is>
          <t>l_2</t>
        </is>
      </c>
      <c r="I27" t="inlineStr">
        <is>
          <t>0051_30804319.xml</t>
        </is>
      </c>
    </row>
    <row r="28">
      <c r="A28" t="inlineStr">
        <is>
          <t>דאס_יידישע_קינד_Dos_yudishe_kind_a_komishe_operete</t>
        </is>
      </c>
      <c r="B28" t="n">
        <v>51</v>
      </c>
      <c r="C28">
        <f>HYPERLINK("https://app.transkribus.org/collection/2372172/doc/828424/detail/51", "p.51")</f>
        <v/>
      </c>
      <c r="D28" s="3" t="inlineStr">
        <is>
          <t>ער</t>
        </is>
      </c>
      <c r="E28" t="inlineStr">
        <is>
          <t>ער:</t>
        </is>
      </c>
      <c r="H28" t="inlineStr">
        <is>
          <t>l_1</t>
        </is>
      </c>
      <c r="I28" t="inlineStr">
        <is>
          <t>0051_30804319.xml</t>
        </is>
      </c>
    </row>
    <row r="29">
      <c r="A29" t="inlineStr">
        <is>
          <t>דאס_יידישע_קינד_Dos_yudishe_kind_a_komishe_operete</t>
        </is>
      </c>
      <c r="B29" t="n">
        <v>51</v>
      </c>
      <c r="C29">
        <f>HYPERLINK("https://app.transkribus.org/collection/2372172/doc/828424/detail/51", "p.51")</f>
        <v/>
      </c>
      <c r="D29" s="3" t="inlineStr">
        <is>
          <t>זי</t>
        </is>
      </c>
      <c r="E29" t="inlineStr">
        <is>
          <t>זי:</t>
        </is>
      </c>
      <c r="H29" t="inlineStr">
        <is>
          <t>l</t>
        </is>
      </c>
      <c r="I29" t="inlineStr">
        <is>
          <t>0051_30804319.xml</t>
        </is>
      </c>
    </row>
    <row r="30">
      <c r="A30" t="inlineStr">
        <is>
          <t>דאס_יידישע_קינד_Dos_yudishe_kind_a_komishe_operete</t>
        </is>
      </c>
      <c r="B30" t="n">
        <v>52</v>
      </c>
      <c r="C30">
        <f>HYPERLINK("https://app.transkribus.org/collection/2372172/doc/828424/detail/52", "p.52")</f>
        <v/>
      </c>
      <c r="D30" s="3" t="inlineStr">
        <is>
          <t>ער</t>
        </is>
      </c>
      <c r="E30" t="inlineStr">
        <is>
          <t>ער:</t>
        </is>
      </c>
      <c r="H30" t="inlineStr">
        <is>
          <t>l_6</t>
        </is>
      </c>
      <c r="I30" t="inlineStr">
        <is>
          <t>0052_30804338.xml</t>
        </is>
      </c>
    </row>
    <row r="31">
      <c r="A31" t="inlineStr">
        <is>
          <t>דאס_יידישע_קינד_Dos_yudishe_kind_a_komishe_operete</t>
        </is>
      </c>
      <c r="B31" t="n">
        <v>52</v>
      </c>
      <c r="C31">
        <f>HYPERLINK("https://app.transkribus.org/collection/2372172/doc/828424/detail/52", "p.52")</f>
        <v/>
      </c>
      <c r="D31" s="3" t="inlineStr">
        <is>
          <t>זי</t>
        </is>
      </c>
      <c r="E31" t="inlineStr">
        <is>
          <t>זי:</t>
        </is>
      </c>
      <c r="H31" t="inlineStr">
        <is>
          <t>l_3</t>
        </is>
      </c>
      <c r="I31" t="inlineStr">
        <is>
          <t>0052_30804338.xml</t>
        </is>
      </c>
    </row>
    <row r="32">
      <c r="A32" t="inlineStr">
        <is>
          <t>דאס_יידישע_קינד_Dos_yudishe_kind_a_komishe_operete</t>
        </is>
      </c>
      <c r="B32" t="n">
        <v>52</v>
      </c>
      <c r="C32">
        <f>HYPERLINK("https://app.transkribus.org/collection/2372172/doc/828424/detail/52", "p.52")</f>
        <v/>
      </c>
      <c r="D32" s="3" t="inlineStr">
        <is>
          <t>ער</t>
        </is>
      </c>
      <c r="E32" t="inlineStr">
        <is>
          <t>ער:</t>
        </is>
      </c>
      <c r="H32" t="inlineStr">
        <is>
          <t>l_2</t>
        </is>
      </c>
      <c r="I32" t="inlineStr">
        <is>
          <t>0052_30804338.xml</t>
        </is>
      </c>
    </row>
    <row r="33">
      <c r="A33" t="inlineStr">
        <is>
          <t>דאס_יידישע_קינד_Dos_yudishe_kind_a_komishe_operete</t>
        </is>
      </c>
      <c r="B33" t="n">
        <v>52</v>
      </c>
      <c r="C33">
        <f>HYPERLINK("https://app.transkribus.org/collection/2372172/doc/828424/detail/52", "p.52")</f>
        <v/>
      </c>
      <c r="D33" s="3" t="inlineStr">
        <is>
          <t>זי</t>
        </is>
      </c>
      <c r="E33" t="inlineStr">
        <is>
          <t>זי:</t>
        </is>
      </c>
      <c r="H33" t="inlineStr">
        <is>
          <t>l_1</t>
        </is>
      </c>
      <c r="I33" t="inlineStr">
        <is>
          <t>0052_30804338.xml</t>
        </is>
      </c>
    </row>
    <row r="34">
      <c r="A34" t="inlineStr">
        <is>
          <t>דאס_יידישע_קינד_Dos_yudishe_kind_a_komishe_operete</t>
        </is>
      </c>
      <c r="B34" t="n">
        <v>52</v>
      </c>
      <c r="C34">
        <f>HYPERLINK("https://app.transkribus.org/collection/2372172/doc/828424/detail/52", "p.52")</f>
        <v/>
      </c>
      <c r="D34" s="3" t="inlineStr">
        <is>
          <t>ער</t>
        </is>
      </c>
      <c r="E34" t="inlineStr">
        <is>
          <t>ער:</t>
        </is>
      </c>
      <c r="H34" t="inlineStr">
        <is>
          <t>l</t>
        </is>
      </c>
      <c r="I34" t="inlineStr">
        <is>
          <t>0052_30804338.xml</t>
        </is>
      </c>
    </row>
  </sheetData>
  <dataValidations count="6">
    <dataValidation sqref="F2:F5" showErrorMessage="1" showDropDown="0" showInputMessage="1" allowBlank="1" type="list">
      <formula1>=Roles_3</formula1>
    </dataValidation>
    <dataValidation sqref="F6:F7" showErrorMessage="1" showDropDown="0" showInputMessage="1" allowBlank="1" type="list">
      <formula1>=Roles_5</formula1>
    </dataValidation>
    <dataValidation sqref="F8:F11" showErrorMessage="1" showDropDown="0" showInputMessage="1" allowBlank="1" type="list">
      <formula1>=Roles_6</formula1>
    </dataValidation>
    <dataValidation sqref="F12" showErrorMessage="1" showDropDown="0" showInputMessage="1" allowBlank="1" type="list">
      <formula1>=Roles_9</formula1>
    </dataValidation>
    <dataValidation sqref="F13:F14" showErrorMessage="1" showDropDown="0" showInputMessage="1" allowBlank="1" type="list">
      <formula1>=Roles_11</formula1>
    </dataValidation>
    <dataValidation sqref="F15:F34" showErrorMessage="1" showDropDown="0" showInputMessage="1" allowBlank="1" type="list">
      <formula1>=Roles_15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AlNaharotBavel-Amkreut&amp;Freund1909</t>
        </is>
      </c>
      <c r="B1" t="inlineStr">
        <is>
          <t>BasSheva</t>
        </is>
      </c>
      <c r="C1" t="inlineStr">
        <is>
          <t>Blimele-AhronFaust1903</t>
        </is>
      </c>
      <c r="D1" t="inlineStr">
        <is>
          <t>DerManUnterTiff</t>
        </is>
      </c>
      <c r="E1" t="inlineStr">
        <is>
          <t>Di_seyder_nakht_Emkroyt_1908</t>
        </is>
      </c>
      <c r="F1" t="inlineStr">
        <is>
          <t>DosYudisheHerts-1910</t>
        </is>
      </c>
      <c r="G1" t="inlineStr">
        <is>
          <t>DovidsFidele-1904</t>
        </is>
      </c>
      <c r="H1" t="inlineStr">
        <is>
          <t>Ezra-Emkroyt1908</t>
        </is>
      </c>
      <c r="I1" t="inlineStr">
        <is>
          <t>HinkePinke</t>
        </is>
      </c>
      <c r="J1" t="inlineStr">
        <is>
          <t>IshahRaah</t>
        </is>
      </c>
      <c r="K1" t="inlineStr">
        <is>
          <t>KidushHashem</t>
        </is>
      </c>
      <c r="L1" t="inlineStr">
        <is>
          <t>MishkeMashke-Kultur1910</t>
        </is>
      </c>
      <c r="M1" t="inlineStr">
        <is>
          <t>SoreSheyndel</t>
        </is>
      </c>
      <c r="N1" t="inlineStr">
        <is>
          <t>Yudale_der_blinder,_Emkroyt1908</t>
        </is>
      </c>
      <c r="O1" t="inlineStr">
        <is>
          <t>דאס_יידישע_קינד_Dos_yudishe_kind_a_komishe_operete</t>
        </is>
      </c>
    </row>
    <row r="2">
      <c r="A2" t="inlineStr">
        <is>
          <t>alle</t>
        </is>
      </c>
      <c r="B2" t="inlineStr">
        <is>
          <t>אלע (alle)</t>
        </is>
      </c>
      <c r="C2" t="inlineStr">
        <is>
          <t>אלע (alle)</t>
        </is>
      </c>
      <c r="D2" t="inlineStr">
        <is>
          <t>קראָקעֶוועֶר (krokover)</t>
        </is>
      </c>
      <c r="E2" t="inlineStr">
        <is>
          <t>אלע (alle)</t>
        </is>
      </c>
      <c r="F2" t="inlineStr">
        <is>
          <t>אלע (alle)</t>
        </is>
      </c>
      <c r="G2" t="inlineStr">
        <is>
          <t>אלע (alle)</t>
        </is>
      </c>
      <c r="H2" t="inlineStr">
        <is>
          <t>אלע (alle)</t>
        </is>
      </c>
      <c r="I2" t="inlineStr">
        <is>
          <t>adryan</t>
        </is>
      </c>
      <c r="J2" t="inlineStr">
        <is>
          <t>אלע (alle)</t>
        </is>
      </c>
      <c r="K2" t="inlineStr">
        <is>
          <t>alle</t>
        </is>
      </c>
      <c r="L2" t="inlineStr">
        <is>
          <t>alle</t>
        </is>
      </c>
      <c r="M2" t="inlineStr">
        <is>
          <t>אלע (alle)</t>
        </is>
      </c>
      <c r="N2" t="inlineStr">
        <is>
          <t>alle</t>
        </is>
      </c>
      <c r="O2" t="inlineStr">
        <is>
          <t>אלע (alle)</t>
        </is>
      </c>
    </row>
    <row r="3">
      <c r="A3" t="inlineStr">
        <is>
          <t>בַּלְשֶׁצֶר (belshatsar)</t>
        </is>
      </c>
      <c r="B3" t="inlineStr">
        <is>
          <t>ביידע (beyde)</t>
        </is>
      </c>
      <c r="C3" t="inlineStr">
        <is>
          <t>בֶּערֶעלֶע (berele)</t>
        </is>
      </c>
      <c r="D3" t="inlineStr">
        <is>
          <t>סאָבּעֶלעֶ (sobele)</t>
        </is>
      </c>
      <c r="E3" t="inlineStr">
        <is>
          <t>אַלט (alt)</t>
        </is>
      </c>
      <c r="F3" t="inlineStr">
        <is>
          <t>ביידע (beyde)</t>
        </is>
      </c>
      <c r="G3" t="inlineStr">
        <is>
          <t>ביידע (beyde)</t>
        </is>
      </c>
      <c r="H3" t="inlineStr">
        <is>
          <t>ביידע (beyde)</t>
        </is>
      </c>
      <c r="I3" t="inlineStr">
        <is>
          <t>אלע (alle)</t>
        </is>
      </c>
      <c r="J3" t="inlineStr">
        <is>
          <t>אַנְטִיגְנוֹס (antignos)</t>
        </is>
      </c>
      <c r="K3" t="inlineStr">
        <is>
          <t>אַנְדְרֶעע (andree)</t>
        </is>
      </c>
      <c r="L3" t="inlineStr">
        <is>
          <t>beyde</t>
        </is>
      </c>
      <c r="M3" t="inlineStr">
        <is>
          <t>avromele</t>
        </is>
      </c>
      <c r="N3" t="inlineStr">
        <is>
          <t>אַלְטֶערִיל (alteril)</t>
        </is>
      </c>
      <c r="O3" t="inlineStr">
        <is>
          <t>ביידע (beyde)</t>
        </is>
      </c>
    </row>
    <row r="4">
      <c r="A4" t="inlineStr">
        <is>
          <t>בֶּן כַּסְפִּי (ben_kaspi)</t>
        </is>
      </c>
      <c r="B4" t="inlineStr">
        <is>
          <t>בִּנְיָמִין (bnimin)</t>
        </is>
      </c>
      <c r="C4" t="inlineStr">
        <is>
          <t>ביידע (beyde)</t>
        </is>
      </c>
      <c r="D4" t="inlineStr">
        <is>
          <t>טוּרְניִווער (turniver)</t>
        </is>
      </c>
      <c r="E4" t="inlineStr">
        <is>
          <t>bas</t>
        </is>
      </c>
      <c r="F4" t="inlineStr">
        <is>
          <t>קאהר (chor)</t>
        </is>
      </c>
      <c r="G4" t="inlineStr">
        <is>
          <t>קאהר (chor)</t>
        </is>
      </c>
      <c r="H4" t="inlineStr">
        <is>
          <t>קאהר (chor)</t>
        </is>
      </c>
      <c r="I4" t="inlineStr">
        <is>
          <t>ביידע (beyde)</t>
        </is>
      </c>
      <c r="J4" t="inlineStr">
        <is>
          <t>אַבְנֵר (avner)</t>
        </is>
      </c>
      <c r="K4" t="inlineStr">
        <is>
          <t>אַבְרָהָם בֶּן אֵלְִיָהוּ אַבַּארְבַּאנְעֶל (avraham_abarbanel)</t>
        </is>
      </c>
      <c r="L4" t="inlineStr">
        <is>
          <t>ביסינג (bising)</t>
        </is>
      </c>
      <c r="M4" t="inlineStr">
        <is>
          <t>babele</t>
        </is>
      </c>
      <c r="N4" t="inlineStr">
        <is>
          <t>בֶּערְמַאן (berman)</t>
        </is>
      </c>
      <c r="O4" t="inlineStr">
        <is>
          <t>קאהר (chor)</t>
        </is>
      </c>
    </row>
    <row r="5">
      <c r="A5" t="inlineStr">
        <is>
          <t>beyde</t>
        </is>
      </c>
      <c r="B5" t="inlineStr">
        <is>
          <t>אַבְנֵר (bnr)</t>
        </is>
      </c>
      <c r="C5" t="inlineStr">
        <is>
          <t>בְּלִיהמֶעלע (blimele)</t>
        </is>
      </c>
      <c r="D5" t="inlineStr">
        <is>
          <t>ר' יאָכטשֶעֶ (yokhtshe)</t>
        </is>
      </c>
      <c r="E5" t="inlineStr">
        <is>
          <t>beyde</t>
        </is>
      </c>
      <c r="F5" t="inlineStr">
        <is>
          <t>דיִענעֶר (diener)</t>
        </is>
      </c>
      <c r="G5" t="inlineStr">
        <is>
          <t>דאמען (damen)</t>
        </is>
      </c>
      <c r="H5" t="inlineStr">
        <is>
          <t>דֶעבָּארַא (debora)</t>
        </is>
      </c>
      <c r="I5" t="inlineStr">
        <is>
          <t>בּויערעֶן (boyeren)</t>
        </is>
      </c>
      <c r="J5" t="inlineStr">
        <is>
          <t>ביידע (beyde)</t>
        </is>
      </c>
      <c r="K5" t="inlineStr">
        <is>
          <t>chor</t>
        </is>
      </c>
      <c r="L5" t="inlineStr">
        <is>
          <t>חינעזער (chinezer)</t>
        </is>
      </c>
      <c r="M5" t="inlineStr">
        <is>
          <t>באבעלע (bbele)</t>
        </is>
      </c>
      <c r="N5" t="inlineStr">
        <is>
          <t>beyde</t>
        </is>
      </c>
      <c r="O5" t="inlineStr">
        <is>
          <t>אַ דִיענֶער (dyener)</t>
        </is>
      </c>
    </row>
    <row r="6">
      <c r="A6" t="inlineStr">
        <is>
          <t>דָנִיאֵל (daniel)</t>
        </is>
      </c>
      <c r="B6" t="inlineStr">
        <is>
          <t>bnr bnimin</t>
        </is>
      </c>
      <c r="C6" t="inlineStr">
        <is>
          <t>באטע (bote)</t>
        </is>
      </c>
      <c r="D6" t="inlineStr">
        <is>
          <t>?? unsure — see note</t>
        </is>
      </c>
      <c r="E6" t="inlineStr">
        <is>
          <t>damen</t>
        </is>
      </c>
      <c r="F6" t="inlineStr">
        <is>
          <t>דינהלע (dinhle)</t>
        </is>
      </c>
      <c r="G6" t="inlineStr">
        <is>
          <t>דַאוִויד גֵייגֶער (dvid_geyger)</t>
        </is>
      </c>
      <c r="H6" t="inlineStr">
        <is>
          <t>דָאקְטָאר לוי (doktor_levi)</t>
        </is>
      </c>
      <c r="I6" t="inlineStr">
        <is>
          <t>קאהר (chor)</t>
        </is>
      </c>
      <c r="J6" t="inlineStr">
        <is>
          <t>chor</t>
        </is>
      </c>
      <c r="K6" t="inlineStr">
        <is>
          <t>דָאן אִיזְרַאעֶל (don_yisrael)</t>
        </is>
      </c>
      <c r="L6" t="inlineStr">
        <is>
          <t>chor</t>
        </is>
      </c>
      <c r="M6" t="inlineStr">
        <is>
          <t>אברהמעלע (brhmele)</t>
        </is>
      </c>
      <c r="N6" t="inlineStr">
        <is>
          <t>דְבוֹרָה'לֶע (dvorele)</t>
        </is>
      </c>
      <c r="O6" t="inlineStr">
        <is>
          <t>דִיענֶער (dyener_rov)</t>
        </is>
      </c>
    </row>
    <row r="7">
      <c r="A7" t="inlineStr">
        <is>
          <t>דְלִילָה (delila)</t>
        </is>
      </c>
      <c r="B7" t="inlineStr">
        <is>
          <t>בּוֹיען (boyen)</t>
        </is>
      </c>
      <c r="C7" t="inlineStr">
        <is>
          <t>קאהר (chor)</t>
        </is>
      </c>
      <c r="D7" t="inlineStr">
        <is>
          <t>XX not a speaker</t>
        </is>
      </c>
      <c r="E7" t="inlineStr">
        <is>
          <t>דוד קאהן (dovid_kahn)</t>
        </is>
      </c>
      <c r="F7" t="inlineStr">
        <is>
          <t>דריטע (drite)</t>
        </is>
      </c>
      <c r="G7" t="inlineStr">
        <is>
          <t>יַעֲנְקֶעלֶע (ienkele)</t>
        </is>
      </c>
      <c r="H7" t="inlineStr">
        <is>
          <t>איינער (eyner)</t>
        </is>
      </c>
      <c r="I7" t="inlineStr">
        <is>
          <t>dina</t>
        </is>
      </c>
      <c r="J7" t="inlineStr">
        <is>
          <t>אִיזֶבֶל (izebel)</t>
        </is>
      </c>
      <c r="K7" t="inlineStr">
        <is>
          <t>duet</t>
        </is>
      </c>
      <c r="L7" t="inlineStr">
        <is>
          <t>diener</t>
        </is>
      </c>
      <c r="M7" t="inlineStr">
        <is>
          <t>chor</t>
        </is>
      </c>
      <c r="N7" t="inlineStr">
        <is>
          <t>פישל (fishl)</t>
        </is>
      </c>
      <c r="O7" t="inlineStr">
        <is>
          <t>איינער (eyner)</t>
        </is>
      </c>
    </row>
    <row r="8">
      <c r="A8" t="inlineStr">
        <is>
          <t>דָוִד (dovid)</t>
        </is>
      </c>
      <c r="B8" t="inlineStr">
        <is>
          <t>בַּת שֶׁבַע (bs_shbe)</t>
        </is>
      </c>
      <c r="C8" t="inlineStr">
        <is>
          <t>damen</t>
        </is>
      </c>
      <c r="D8" t="inlineStr">
        <is>
          <t>++ new role — see note</t>
        </is>
      </c>
      <c r="E8" t="inlineStr">
        <is>
          <t>duet</t>
        </is>
      </c>
      <c r="F8" t="inlineStr">
        <is>
          <t>ער (er)</t>
        </is>
      </c>
      <c r="G8" t="inlineStr">
        <is>
          <t>אִיצֶעלֶע פִּיפֶּעק (itsele_fifek)</t>
        </is>
      </c>
      <c r="H8" t="inlineStr">
        <is>
          <t>עֶזְרַא (ezra)</t>
        </is>
      </c>
      <c r="I8" t="inlineStr">
        <is>
          <t>דִינָה (dinh)</t>
        </is>
      </c>
      <c r="J8" t="inlineStr">
        <is>
          <t>קֶענִיג הורְקְנוֹס (kenig_hurknos)</t>
        </is>
      </c>
      <c r="K8" t="inlineStr">
        <is>
          <t>eyner</t>
        </is>
      </c>
      <c r="L8" t="inlineStr">
        <is>
          <t>דוס (dos)</t>
        </is>
      </c>
      <c r="M8" t="inlineStr">
        <is>
          <t>דאקטאר (dktr)</t>
        </is>
      </c>
      <c r="N8" t="inlineStr">
        <is>
          <t>פְרֵיידַא'לֶע (freydale)</t>
        </is>
      </c>
      <c r="O8" t="inlineStr">
        <is>
          <t>אַ גַייסט (gayst)</t>
        </is>
      </c>
    </row>
    <row r="9">
      <c r="A9" t="inlineStr">
        <is>
          <t>אֶלְיָקים (elyakim)</t>
        </is>
      </c>
      <c r="B9" t="inlineStr">
        <is>
          <t>קאהר (chor)</t>
        </is>
      </c>
      <c r="C9" t="inlineStr">
        <is>
          <t>דער איינער (der_einer)</t>
        </is>
      </c>
      <c r="E9" t="inlineStr">
        <is>
          <t>דומִיטרִיע רִיזוואן (dumitriye_rizvan)</t>
        </is>
      </c>
      <c r="F9" t="inlineStr">
        <is>
          <t>פֿעטער משה (feter_mshh)</t>
        </is>
      </c>
      <c r="G9" t="inlineStr">
        <is>
          <t>קֵיילֶע בֵּיילֶע (keyle_beyle)</t>
        </is>
      </c>
      <c r="H9" t="inlineStr">
        <is>
          <t>גְרַאף וִוילְנִיצְקִי (graf_vilnitsky)</t>
        </is>
      </c>
      <c r="I9" t="inlineStr">
        <is>
          <t>dr_avrohom</t>
        </is>
      </c>
      <c r="J9" t="inlineStr">
        <is>
          <t>אֵיין קֶערְקֶערְמֵייסְטֶער (kerker_meyster)</t>
        </is>
      </c>
      <c r="K9" t="inlineStr">
        <is>
          <t>גְרַאף לַארָאשׁ (graf_larash)</t>
        </is>
      </c>
      <c r="L9" t="inlineStr">
        <is>
          <t>עמיליע (emilye)</t>
        </is>
      </c>
      <c r="M9" t="inlineStr">
        <is>
          <t>דזייק (dzeyk)</t>
        </is>
      </c>
      <c r="N9" t="inlineStr">
        <is>
          <t>הֶערְצֶעל וַואלְדְמאן (hertsl_valdman)</t>
        </is>
      </c>
      <c r="O9" t="inlineStr">
        <is>
          <t>גראף פּעטעפי (graf_petefi)</t>
        </is>
      </c>
    </row>
    <row r="10">
      <c r="A10" t="inlineStr">
        <is>
          <t>הויפטמאן (hoyptman)</t>
        </is>
      </c>
      <c r="B10" t="inlineStr">
        <is>
          <t>עֲזַרִיָה (ezrih)</t>
        </is>
      </c>
      <c r="C10" t="inlineStr">
        <is>
          <t>דאקְטָאר דַאנִיאֵל (doktor_daniel)</t>
        </is>
      </c>
      <c r="E10" t="inlineStr">
        <is>
          <t>דיענער (dyener)</t>
        </is>
      </c>
      <c r="F10" t="inlineStr">
        <is>
          <t>פּאַוּלא פּאָפעסקא (ful_ffesk)</t>
        </is>
      </c>
      <c r="G10" t="inlineStr">
        <is>
          <t>חַוָה (khuh)</t>
        </is>
      </c>
      <c r="H10" t="inlineStr">
        <is>
          <t>גְרֶעגַאר (gregor)</t>
        </is>
      </c>
      <c r="I10" t="inlineStr">
        <is>
          <t>דִ"ר אַבְרָהָם (dr_brhm)</t>
        </is>
      </c>
      <c r="J10" t="inlineStr">
        <is>
          <t>חֲנוֹך (khanokh)</t>
        </is>
      </c>
      <c r="K10" t="inlineStr">
        <is>
          <t>הֶעלֶענַא (helena)</t>
        </is>
      </c>
      <c r="L10" t="inlineStr">
        <is>
          <t>eyner</t>
        </is>
      </c>
      <c r="M10" t="inlineStr">
        <is>
          <t>איינער (eyner)</t>
        </is>
      </c>
      <c r="N10" t="inlineStr">
        <is>
          <t>אִיסָר (iser)</t>
        </is>
      </c>
      <c r="O10" t="inlineStr">
        <is>
          <t>גראף זֶעזֶעמִיר (graf_zezemir)</t>
        </is>
      </c>
    </row>
    <row r="11">
      <c r="A11" t="inlineStr">
        <is>
          <t>קוּלְיַאן (kulyan)</t>
        </is>
      </c>
      <c r="B11" t="inlineStr">
        <is>
          <t>לֶמֶך (lmkh)</t>
        </is>
      </c>
      <c r="C11" t="inlineStr">
        <is>
          <t>doktor_daniel blimele</t>
        </is>
      </c>
      <c r="E11" t="inlineStr">
        <is>
          <t>ר׳ גֶעצִיל (getsil)</t>
        </is>
      </c>
      <c r="F11" t="inlineStr">
        <is>
          <t>herman</t>
        </is>
      </c>
      <c r="G11" t="inlineStr">
        <is>
          <t>אַלְטֶערוּנְיוּ (lteruniu)</t>
        </is>
      </c>
      <c r="H11" t="inlineStr">
        <is>
          <t>קַאטֶערִינַא (katerina)</t>
        </is>
      </c>
      <c r="I11" t="inlineStr">
        <is>
          <t>אַדְרְיַאן (drin)</t>
        </is>
      </c>
      <c r="J11" t="inlineStr">
        <is>
          <t>meydkhen</t>
        </is>
      </c>
      <c r="K11" t="inlineStr">
        <is>
          <t>אִיזַאבֶּעלַא (izabella)</t>
        </is>
      </c>
      <c r="L11" t="inlineStr">
        <is>
          <t>קארל (karl)</t>
        </is>
      </c>
      <c r="M11" t="inlineStr">
        <is>
          <t>גימפּעל (gimfel)</t>
        </is>
      </c>
      <c r="N11" t="inlineStr">
        <is>
          <t>חזן (khazn)</t>
        </is>
      </c>
      <c r="O11" t="inlineStr">
        <is>
          <t>גראפֶען (grafn)</t>
        </is>
      </c>
    </row>
    <row r="12">
      <c r="A12" t="inlineStr">
        <is>
          <t>אָפֶּעטֶעס (opetes)</t>
        </is>
      </c>
      <c r="B12" t="inlineStr">
        <is>
          <t>מענער (mener)</t>
        </is>
      </c>
      <c r="C12" t="inlineStr">
        <is>
          <t>doktor_daniel liepe zelikel_mnagen</t>
        </is>
      </c>
      <c r="E12" t="inlineStr">
        <is>
          <t>העלפגאט (helpgot)</t>
        </is>
      </c>
      <c r="F12" t="inlineStr">
        <is>
          <t>הערמאַן (hermn)</t>
        </is>
      </c>
      <c r="G12" t="inlineStr">
        <is>
          <t>מינא (mina)</t>
        </is>
      </c>
      <c r="H12" t="inlineStr">
        <is>
          <t>קַאזִימִיר (kazimir)</t>
        </is>
      </c>
      <c r="I12" t="inlineStr">
        <is>
          <t>איינער (eyner)</t>
        </is>
      </c>
      <c r="J12" t="inlineStr">
        <is>
          <t>מיליטער (militer)</t>
        </is>
      </c>
      <c r="K12" t="inlineStr">
        <is>
          <t>מֶעַנְדֶעס (mendes)</t>
        </is>
      </c>
      <c r="L12" t="inlineStr">
        <is>
          <t>ליעבערמאן (lieberman)</t>
        </is>
      </c>
      <c r="M12" t="inlineStr">
        <is>
          <t>gimpel</t>
        </is>
      </c>
      <c r="N12" t="inlineStr">
        <is>
          <t>קאָהר (kor)</t>
        </is>
      </c>
      <c r="O12" t="inlineStr">
        <is>
          <t>הֶענֶעלֶע (henele)</t>
        </is>
      </c>
    </row>
    <row r="13">
      <c r="A13" t="inlineStr">
        <is>
          <t>פַּאלֶמִירַא (palmira)</t>
        </is>
      </c>
      <c r="B13" t="inlineStr">
        <is>
          <t>מעדכען (meydkhen)</t>
        </is>
      </c>
      <c r="C13" t="inlineStr">
        <is>
          <t>איינער (eyner)</t>
        </is>
      </c>
      <c r="E13" t="inlineStr">
        <is>
          <t>קארְל רִיזוואן (karl_rizvan)</t>
        </is>
      </c>
      <c r="F13" t="inlineStr">
        <is>
          <t>יעקב שטערען (iekb_shteren)</t>
        </is>
      </c>
      <c r="G13" t="inlineStr">
        <is>
          <t>נֹחַ (nkh)</t>
        </is>
      </c>
      <c r="H13" t="inlineStr">
        <is>
          <t>מַארְפַּא צוּצְקַא (marpa_tsutska)</t>
        </is>
      </c>
      <c r="I13" t="inlineStr">
        <is>
          <t>פִּינְקֶע (finke)</t>
        </is>
      </c>
      <c r="J13" t="inlineStr">
        <is>
          <t>מִילְכָּּה (milkah)</t>
        </is>
      </c>
      <c r="K13" t="inlineStr">
        <is>
          <t>menner</t>
        </is>
      </c>
      <c r="L13" t="inlineStr">
        <is>
          <t>מאשקע (mashke)</t>
        </is>
      </c>
      <c r="M13" t="inlineStr">
        <is>
          <t>חנהלע (khnhle)</t>
        </is>
      </c>
      <c r="N13" t="inlineStr">
        <is>
          <t>פְּרָאפֶעסָאר עֶדֶעלְמַאן (profesor_edelman)</t>
        </is>
      </c>
      <c r="O13" t="inlineStr">
        <is>
          <t>הוִיפ⸗נאָר (hofnar)</t>
        </is>
      </c>
    </row>
    <row r="14">
      <c r="A14" t="inlineStr">
        <is>
          <t>יְהוּדִית (yehudis)</t>
        </is>
      </c>
      <c r="B14" t="inlineStr">
        <is>
          <t>מיליטער (militer)</t>
        </is>
      </c>
      <c r="C14" t="inlineStr">
        <is>
          <t>גרַאף סְטַאנִיסְלַאוו יַאבְּלָאנָאוִויטְש (graf_stanislav)</t>
        </is>
      </c>
      <c r="E14" t="inlineStr">
        <is>
          <t>קאטִינְקא (katinka)</t>
        </is>
      </c>
      <c r="F14" t="inlineStr">
        <is>
          <t>קאָמיִסאַר (kmisr)</t>
        </is>
      </c>
      <c r="G14" t="inlineStr">
        <is>
          <t>ר' זִיסְסֶע (r_zisse)</t>
        </is>
      </c>
      <c r="H14" t="inlineStr">
        <is>
          <t>רִיכְטֶער (richter)</t>
        </is>
      </c>
      <c r="I14" t="inlineStr">
        <is>
          <t>פְרִיץ (frits)</t>
        </is>
      </c>
      <c r="J14" t="inlineStr">
        <is>
          <t>פאזשע (pazshe)</t>
        </is>
      </c>
      <c r="K14" t="inlineStr">
        <is>
          <t>meydkhen</t>
        </is>
      </c>
      <c r="L14" t="inlineStr">
        <is>
          <t>מינא (mina)</t>
        </is>
      </c>
      <c r="M14" t="inlineStr">
        <is>
          <t>משׁוררים אוּן פֿאָלק (mshurrim_un_flk)</t>
        </is>
      </c>
      <c r="N14" t="inlineStr">
        <is>
          <t>רָאזַא (raza)</t>
        </is>
      </c>
      <c r="O14" t="inlineStr">
        <is>
          <t>קֶענִיג זיגמוּנד (kenig_zigmund)</t>
        </is>
      </c>
    </row>
    <row r="15">
      <c r="A15" t="inlineStr">
        <is>
          <t>זְרוּבָּבֶל (zerubavel)</t>
        </is>
      </c>
      <c r="B15" t="inlineStr">
        <is>
          <t>שׁעפֿער (shefer)</t>
        </is>
      </c>
      <c r="C15" t="inlineStr">
        <is>
          <t>קֶענִיג אוֹיגוּסט (kenig_oygust)</t>
        </is>
      </c>
      <c r="E15" t="inlineStr">
        <is>
          <t>קינד (kind_2)</t>
        </is>
      </c>
      <c r="F15" t="inlineStr">
        <is>
          <t>komisar</t>
        </is>
      </c>
      <c r="G15" t="inlineStr">
        <is>
          <t>סַאלַאמָאן (slmn)</t>
        </is>
      </c>
      <c r="H15" t="inlineStr">
        <is>
          <t>סַאוִויצְקִי (savitsky)</t>
        </is>
      </c>
      <c r="I15" t="inlineStr">
        <is>
          <t>פַּאזְשׁ (fzsh)</t>
        </is>
      </c>
      <c r="J15" t="inlineStr">
        <is>
          <t>פֶּרֶץ (perets)</t>
        </is>
      </c>
      <c r="K15" t="inlineStr">
        <is>
          <t>pazh</t>
        </is>
      </c>
      <c r="L15" t="inlineStr">
        <is>
          <t>מישקע (mishke)</t>
        </is>
      </c>
      <c r="M15" t="inlineStr">
        <is>
          <t>רֶב יוחנצי (rb_iukhntsi)</t>
        </is>
      </c>
      <c r="N15" t="inlineStr">
        <is>
          <t>יַאכְנֶע (yakhne)</t>
        </is>
      </c>
      <c r="O15" t="inlineStr">
        <is>
          <t>קֶערְקֶער⸗מַייסטֶער (kerker_meyster)</t>
        </is>
      </c>
    </row>
    <row r="16">
      <c r="A16" t="inlineStr">
        <is>
          <t>זִמְרִי (zimri)</t>
        </is>
      </c>
      <c r="B16" t="inlineStr">
        <is>
          <t>שׁעפֿעריגען (sheferigen)</t>
        </is>
      </c>
      <c r="C16" t="inlineStr">
        <is>
          <t>ליעפֶּע (liepe)</t>
        </is>
      </c>
      <c r="E16" t="inlineStr">
        <is>
          <t>קינדער (kinder)</t>
        </is>
      </c>
      <c r="F16" t="inlineStr">
        <is>
          <t>lemekh_kretshmer</t>
        </is>
      </c>
      <c r="G16" t="inlineStr">
        <is>
          <t>סטודענט (student)</t>
        </is>
      </c>
      <c r="H16" t="inlineStr">
        <is>
          <t>שִׁמְעוֹן (shimon)</t>
        </is>
      </c>
      <c r="I16" t="inlineStr">
        <is>
          <t>gavriel</t>
        </is>
      </c>
      <c r="J16" t="inlineStr">
        <is>
          <t>פערזער (perzer)</t>
        </is>
      </c>
      <c r="K16" t="inlineStr">
        <is>
          <t>פִּיקַאלָא (pikola)</t>
        </is>
      </c>
      <c r="L16" t="inlineStr">
        <is>
          <t>מאנקאדזשאו (monkadshu)</t>
        </is>
      </c>
      <c r="M16" t="inlineStr">
        <is>
          <t>rb_iukhntsi shrh_sheyndel</t>
        </is>
      </c>
      <c r="N16" t="inlineStr">
        <is>
          <t>יְרוּחָם (yerukhem)</t>
        </is>
      </c>
      <c r="O16" t="inlineStr">
        <is>
          <t>קאהר (kor)</t>
        </is>
      </c>
    </row>
    <row r="17">
      <c r="A17" t="inlineStr">
        <is>
          <t>?? unsure — see note</t>
        </is>
      </c>
      <c r="B17" t="inlineStr">
        <is>
          <t>שְׁלוּמִיאֵל (shlumil)</t>
        </is>
      </c>
      <c r="C17" t="inlineStr">
        <is>
          <t>liepe doktor_daniel zelikel_mnagen</t>
        </is>
      </c>
      <c r="E17" t="inlineStr">
        <is>
          <t>קאהר (kor)</t>
        </is>
      </c>
      <c r="F17" t="inlineStr">
        <is>
          <t>לידאַ (lid)</t>
        </is>
      </c>
      <c r="G17" t="inlineStr">
        <is>
          <t>טַאבֶּעלֶע (tbele)</t>
        </is>
      </c>
      <c r="H17" t="inlineStr">
        <is>
          <t>סאלדאט (soldat)</t>
        </is>
      </c>
      <c r="I17" t="inlineStr">
        <is>
          <t>גַבְרִיאֵל (gbril)</t>
        </is>
      </c>
      <c r="J17" t="inlineStr">
        <is>
          <t>סֶעלִים (selim)</t>
        </is>
      </c>
      <c r="K17" t="inlineStr">
        <is>
          <t>סַאנְקְטָא (sancto)</t>
        </is>
      </c>
      <c r="L17" t="inlineStr">
        <is>
          <t>נאטאנזאהן (natanzon)</t>
        </is>
      </c>
      <c r="M17" t="inlineStr">
        <is>
          <t>סעם (sem)</t>
        </is>
      </c>
      <c r="N17" t="inlineStr">
        <is>
          <t>יוּדַאלֶע (yudale)</t>
        </is>
      </c>
      <c r="O17" t="inlineStr">
        <is>
          <t>מארְטהא (marta)</t>
        </is>
      </c>
    </row>
    <row r="18">
      <c r="A18" t="inlineStr">
        <is>
          <t>XX not a speaker</t>
        </is>
      </c>
      <c r="B18" t="inlineStr">
        <is>
          <t>אֶסְתֶּר (ssr)</t>
        </is>
      </c>
      <c r="C18" t="inlineStr">
        <is>
          <t>liepe zelikel_mnagen</t>
        </is>
      </c>
      <c r="E18" t="inlineStr">
        <is>
          <t>מאִיר דרֵייער (meir_dreyer)</t>
        </is>
      </c>
      <c r="F18" t="inlineStr">
        <is>
          <t>lida</t>
        </is>
      </c>
      <c r="G18" t="inlineStr">
        <is>
          <t>טִילֶע (tile)</t>
        </is>
      </c>
      <c r="H18" t="inlineStr">
        <is>
          <t>סְטַאנִיסְלַאוו (stanislav)</t>
        </is>
      </c>
      <c r="I18" t="inlineStr">
        <is>
          <t>הֶענְקֶער (henker)</t>
        </is>
      </c>
      <c r="J18" t="inlineStr">
        <is>
          <t>שְׁלוֹמִית (shlomit)</t>
        </is>
      </c>
      <c r="K18" t="inlineStr">
        <is>
          <t>טָאבִּיאַס (tobyas)</t>
        </is>
      </c>
      <c r="L18" t="inlineStr">
        <is>
          <t>סאלא (sala)</t>
        </is>
      </c>
      <c r="M18" t="inlineStr">
        <is>
          <t>shabse</t>
        </is>
      </c>
      <c r="N18" t="inlineStr">
        <is>
          <t>?? unsure — see note</t>
        </is>
      </c>
      <c r="O18" t="inlineStr">
        <is>
          <t>רב (rov)</t>
        </is>
      </c>
    </row>
    <row r="19">
      <c r="A19" t="inlineStr">
        <is>
          <t>++ new role — see note</t>
        </is>
      </c>
      <c r="B19" t="inlineStr">
        <is>
          <t>טַייפֶֿעל (teyfel)</t>
        </is>
      </c>
      <c r="C19" t="inlineStr">
        <is>
          <t>מַאקְסִים (maksim)</t>
        </is>
      </c>
      <c r="E19" t="inlineStr">
        <is>
          <t>מרִים (miryam)</t>
        </is>
      </c>
      <c r="F19" t="inlineStr">
        <is>
          <t>למְך (lmkh)</t>
        </is>
      </c>
      <c r="G19" t="inlineStr">
        <is>
          <t>טוֹבִיֶה (tubih)</t>
        </is>
      </c>
      <c r="H19" t="inlineStr">
        <is>
          <t>וַואלֶענְטִין (valentin)</t>
        </is>
      </c>
      <c r="I19" t="inlineStr">
        <is>
          <t>הֶערְצָאג (hertsg)</t>
        </is>
      </c>
      <c r="J19" t="inlineStr">
        <is>
          <t>shlomit talmai chor</t>
        </is>
      </c>
      <c r="K19" t="inlineStr">
        <is>
          <t>tobyas_yulye</t>
        </is>
      </c>
      <c r="L19" t="inlineStr">
        <is>
          <t>שארלאטא (sharlata)</t>
        </is>
      </c>
      <c r="M19" t="inlineStr">
        <is>
          <t>שׁאַפּסע (shfse)</t>
        </is>
      </c>
      <c r="N19" t="inlineStr">
        <is>
          <t>XX not a speaker</t>
        </is>
      </c>
      <c r="O19" t="inlineStr">
        <is>
          <t>שׁמֶערְל (shmerl)</t>
        </is>
      </c>
    </row>
    <row r="20">
      <c r="B20" t="inlineStr">
        <is>
          <t>טייפֿעל (teyfel_2)</t>
        </is>
      </c>
      <c r="C20" t="inlineStr">
        <is>
          <t>maksim graf_stanislav</t>
        </is>
      </c>
      <c r="E20" t="inlineStr">
        <is>
          <t>פּרעפעקט (prefekt)</t>
        </is>
      </c>
      <c r="F20" t="inlineStr">
        <is>
          <t>מענער (mener)</t>
        </is>
      </c>
      <c r="G20" t="inlineStr">
        <is>
          <t>?? unsure — see note</t>
        </is>
      </c>
      <c r="H20" t="inlineStr">
        <is>
          <t>יְהוּדָה (yehuda)</t>
        </is>
      </c>
      <c r="I20" t="inlineStr">
        <is>
          <t>hertsog</t>
        </is>
      </c>
      <c r="J20" t="inlineStr">
        <is>
          <t>תַּלְמַי (talmai)</t>
        </is>
      </c>
      <c r="K20" t="inlineStr">
        <is>
          <t>vekhter</t>
        </is>
      </c>
      <c r="L20" t="inlineStr">
        <is>
          <t>טיראללע (tirale)</t>
        </is>
      </c>
      <c r="M20" t="inlineStr">
        <is>
          <t>שׂרה שׁיינדעל (shrh_sheyndel)</t>
        </is>
      </c>
      <c r="N20" t="inlineStr">
        <is>
          <t>++ new role — see note</t>
        </is>
      </c>
      <c r="O20" t="inlineStr">
        <is>
          <t>שׁפרִינְצֶע (shprintse)</t>
        </is>
      </c>
    </row>
    <row r="21">
      <c r="B21" t="inlineStr">
        <is>
          <t>צָדוק (tsduk)</t>
        </is>
      </c>
      <c r="C21" t="inlineStr">
        <is>
          <t>mener</t>
        </is>
      </c>
      <c r="E21" t="inlineStr">
        <is>
          <t>ראשֶעל (rashel)</t>
        </is>
      </c>
      <c r="F21" t="inlineStr">
        <is>
          <t>roza</t>
        </is>
      </c>
      <c r="G21" t="inlineStr">
        <is>
          <t>XX not a speaker</t>
        </is>
      </c>
      <c r="H21" t="inlineStr">
        <is>
          <t>זִיגִיזְמוּנד (zigizmund)</t>
        </is>
      </c>
      <c r="I21" t="inlineStr">
        <is>
          <t>hinke</t>
        </is>
      </c>
      <c r="J21" t="inlineStr">
        <is>
          <t>וועכטער (wechtter)</t>
        </is>
      </c>
      <c r="K21" t="inlineStr">
        <is>
          <t>יוּלְיֶע (yulye)</t>
        </is>
      </c>
      <c r="L21" t="inlineStr">
        <is>
          <t>טאדט (todt)</t>
        </is>
      </c>
      <c r="M21" t="inlineStr">
        <is>
          <t>sore_sheyndel</t>
        </is>
      </c>
      <c r="O21" t="inlineStr">
        <is>
          <t>וולאדִיסלאוו (vladislav)</t>
        </is>
      </c>
    </row>
    <row r="22">
      <c r="B22" t="inlineStr">
        <is>
          <t>?? unsure — see note</t>
        </is>
      </c>
      <c r="C22" t="inlineStr">
        <is>
          <t>מִרְיָם לִיעפֶּעס (miriam)</t>
        </is>
      </c>
      <c r="E22" t="inlineStr">
        <is>
          <t>סאפראן (sopran)</t>
        </is>
      </c>
      <c r="F22" t="inlineStr">
        <is>
          <t>ראָזאַ (rz)</t>
        </is>
      </c>
      <c r="G22" t="inlineStr">
        <is>
          <t>++ new role — see note</t>
        </is>
      </c>
      <c r="H22" t="inlineStr">
        <is>
          <t>?? unsure — see note</t>
        </is>
      </c>
      <c r="I22" t="inlineStr">
        <is>
          <t>הויפטמאן (hoyptman)</t>
        </is>
      </c>
      <c r="J22" t="inlineStr">
        <is>
          <t>יודען (yuden_ensemble)</t>
        </is>
      </c>
      <c r="K22" t="inlineStr">
        <is>
          <t>?? unsure — see note</t>
        </is>
      </c>
      <c r="L22" t="inlineStr">
        <is>
          <t>?? unsure — see note</t>
        </is>
      </c>
      <c r="M22" t="inlineStr">
        <is>
          <t>?? unsure — see note</t>
        </is>
      </c>
      <c r="O22" t="inlineStr">
        <is>
          <t>יוּדֶען (yudn)</t>
        </is>
      </c>
    </row>
    <row r="23">
      <c r="B23" t="inlineStr">
        <is>
          <t>XX not a speaker</t>
        </is>
      </c>
      <c r="C23" t="inlineStr">
        <is>
          <t>פאזשע (pazshe)</t>
        </is>
      </c>
      <c r="E23" t="inlineStr">
        <is>
          <t>tenor</t>
        </is>
      </c>
      <c r="F23" t="inlineStr">
        <is>
          <t>סערקעלע (serkele)</t>
        </is>
      </c>
      <c r="H23" t="inlineStr">
        <is>
          <t>XX not a speaker</t>
        </is>
      </c>
      <c r="I23" t="inlineStr">
        <is>
          <t>יעֶנעֶר (iener)</t>
        </is>
      </c>
      <c r="J23" t="inlineStr">
        <is>
          <t>?? unsure — see note</t>
        </is>
      </c>
      <c r="K23" t="inlineStr">
        <is>
          <t>XX not a speaker</t>
        </is>
      </c>
      <c r="L23" t="inlineStr">
        <is>
          <t>XX not a speaker</t>
        </is>
      </c>
      <c r="M23" t="inlineStr">
        <is>
          <t>XX not a speaker</t>
        </is>
      </c>
      <c r="O23" t="inlineStr">
        <is>
          <t>זאסלאוועק (zaslavek)</t>
        </is>
      </c>
    </row>
    <row r="24">
      <c r="B24" t="inlineStr">
        <is>
          <t>++ new role — see note</t>
        </is>
      </c>
      <c r="C24" t="inlineStr">
        <is>
          <t>צִיערֶעלֶע (tsierele)</t>
        </is>
      </c>
      <c r="E24" t="inlineStr">
        <is>
          <t>טודְרִיס בּיק (tudris_bik)</t>
        </is>
      </c>
      <c r="F24" t="inlineStr">
        <is>
          <t>סאלא (sl)</t>
        </is>
      </c>
      <c r="H24" t="inlineStr">
        <is>
          <t>++ new role — see note</t>
        </is>
      </c>
      <c r="I24" t="inlineStr">
        <is>
          <t>חִינְקֶע (khinke)</t>
        </is>
      </c>
      <c r="J24" t="inlineStr">
        <is>
          <t>XX not a speaker</t>
        </is>
      </c>
      <c r="K24" t="inlineStr">
        <is>
          <t>++ new role — see note</t>
        </is>
      </c>
      <c r="L24" t="inlineStr">
        <is>
          <t>++ new role — see note</t>
        </is>
      </c>
      <c r="M24" t="inlineStr">
        <is>
          <t>++ new role — see note</t>
        </is>
      </c>
      <c r="O24" t="inlineStr">
        <is>
          <t>?? unsure — see note</t>
        </is>
      </c>
    </row>
    <row r="25">
      <c r="C25" t="inlineStr">
        <is>
          <t>זֶעלִיקֶעל מְנַגֵן (zelikel_mnagen)</t>
        </is>
      </c>
      <c r="E25" t="inlineStr">
        <is>
          <t>אֵיין אוּנטערזוּכוּנגס רִיכטֶער (unterzukhungs_rikhter)</t>
        </is>
      </c>
      <c r="F25" t="inlineStr">
        <is>
          <t>2 קינדער (tsvey_kinder)</t>
        </is>
      </c>
      <c r="I25" t="inlineStr">
        <is>
          <t>קינדער (kinder)</t>
        </is>
      </c>
      <c r="J25" t="inlineStr">
        <is>
          <t>++ new role — see note</t>
        </is>
      </c>
      <c r="O25" t="inlineStr">
        <is>
          <t>XX not a speaker</t>
        </is>
      </c>
    </row>
    <row r="26">
      <c r="C26" t="inlineStr">
        <is>
          <t>zelikel_mnagen tsierele</t>
        </is>
      </c>
      <c r="E26" t="inlineStr">
        <is>
          <t>וואסִילֶע טאלְהאר (vasile_talhar)</t>
        </is>
      </c>
      <c r="F26" t="inlineStr">
        <is>
          <t>צווייטע (tsveyte)</t>
        </is>
      </c>
      <c r="I26" t="inlineStr">
        <is>
          <t>קינדער כאר (kinder_kor)</t>
        </is>
      </c>
      <c r="O26" t="inlineStr">
        <is>
          <t>++ new role — see note</t>
        </is>
      </c>
    </row>
    <row r="27">
      <c r="C27" t="inlineStr">
        <is>
          <t>?? unsure — see note</t>
        </is>
      </c>
      <c r="E27" t="inlineStr">
        <is>
          <t>זלְמְן קאהן (zelmen_kahn)</t>
        </is>
      </c>
      <c r="F27" t="inlineStr">
        <is>
          <t>ווייבער (veyber)</t>
        </is>
      </c>
      <c r="I27" t="inlineStr">
        <is>
          <t>pazsh</t>
        </is>
      </c>
    </row>
    <row r="28">
      <c r="C28" t="inlineStr">
        <is>
          <t>XX not a speaker</t>
        </is>
      </c>
      <c r="E28" t="inlineStr">
        <is>
          <t>?? unsure — see note</t>
        </is>
      </c>
      <c r="F28" t="inlineStr">
        <is>
          <t>viktor</t>
        </is>
      </c>
      <c r="I28" t="inlineStr">
        <is>
          <t>pinke</t>
        </is>
      </c>
    </row>
    <row r="29">
      <c r="C29" t="inlineStr">
        <is>
          <t>++ new role — see note</t>
        </is>
      </c>
      <c r="E29" t="inlineStr">
        <is>
          <t>XX not a speaker</t>
        </is>
      </c>
      <c r="F29" t="inlineStr">
        <is>
          <t>וויקטאָר (viktr)</t>
        </is>
      </c>
      <c r="I29" t="inlineStr">
        <is>
          <t>רִיכְטֶער (rikhter)</t>
        </is>
      </c>
    </row>
    <row r="30">
      <c r="E30" t="inlineStr">
        <is>
          <t>++ new role — see note</t>
        </is>
      </c>
      <c r="F30" t="inlineStr">
        <is>
          <t>yankev_shtern</t>
        </is>
      </c>
      <c r="I30" t="inlineStr">
        <is>
          <t>יוּדעֶן סאָלדאַטען (yudn_soldatn)</t>
        </is>
      </c>
    </row>
    <row r="31">
      <c r="F31" t="inlineStr">
        <is>
          <t>זי (zi)</t>
        </is>
      </c>
      <c r="I31" t="inlineStr">
        <is>
          <t>?? unsure — see note</t>
        </is>
      </c>
    </row>
    <row r="32">
      <c r="F32" t="inlineStr">
        <is>
          <t>?? unsure — see note</t>
        </is>
      </c>
      <c r="I32" t="inlineStr">
        <is>
          <t>XX not a speaker</t>
        </is>
      </c>
    </row>
    <row r="33">
      <c r="F33" t="inlineStr">
        <is>
          <t>XX not a speaker</t>
        </is>
      </c>
      <c r="I33" t="inlineStr">
        <is>
          <t>++ new role — see note</t>
        </is>
      </c>
    </row>
    <row r="34">
      <c r="F34" t="inlineStr">
        <is>
          <t>++ new role — see 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7" customWidth="1" min="4" max="4"/>
    <col width="12" customWidth="1" min="5" max="5"/>
    <col width="26" customWidth="1" min="6" max="6"/>
    <col width="30" customWidth="1" min="7" max="7"/>
    <col width="10" customWidth="1" min="8" max="8"/>
    <col width="7" customWidth="1" min="9" max="9"/>
  </cols>
  <sheetData>
    <row r="1">
      <c r="A1" s="2" t="inlineStr">
        <is>
          <t>Play</t>
        </is>
      </c>
      <c r="B1" s="2" t="inlineStr">
        <is>
          <t>Speaker label (printed)</t>
        </is>
      </c>
      <c r="C1" s="2" t="inlineStr">
        <is>
          <t>Current who</t>
        </is>
      </c>
      <c r="D1" s="2" t="inlineStr">
        <is>
          <t>Count</t>
        </is>
      </c>
      <c r="E1" s="2" t="inlineStr">
        <is>
          <t>Example link</t>
        </is>
      </c>
      <c r="F1" s="2" t="inlineStr">
        <is>
          <t>Correction ▼ (empty = OK)</t>
        </is>
      </c>
      <c r="G1" s="2" t="inlineStr">
        <is>
          <t>Notes</t>
        </is>
      </c>
      <c r="H1" s="2" t="inlineStr">
        <is>
          <t>doc</t>
        </is>
      </c>
      <c r="I1" s="2" t="inlineStr">
        <is>
          <t>page</t>
        </is>
      </c>
      <c r="J1" t="inlineStr">
        <is>
          <t>https://app.transkribus.org/collection/2372172/doc/</t>
        </is>
      </c>
    </row>
    <row r="2">
      <c r="A2" t="inlineStr">
        <is>
          <t>AlNaharotBavel-Amkreut&amp;Freund1909</t>
        </is>
      </c>
      <c r="B2" t="inlineStr">
        <is>
          <t>פריסטער</t>
        </is>
      </c>
      <c r="C2" t="inlineStr">
        <is>
          <t>קוּלְיַאן (kulyan)</t>
        </is>
      </c>
      <c r="D2" t="n">
        <v>60</v>
      </c>
      <c r="E2">
        <f>HYPERLINK($J$1&amp;H2&amp;"/detail/"&amp;I2,"p."&amp;I2)</f>
        <v/>
      </c>
      <c r="H2" t="n">
        <v>820975</v>
      </c>
      <c r="I2" t="n">
        <v>18</v>
      </c>
    </row>
    <row r="3">
      <c r="A3" t="inlineStr">
        <is>
          <t>AlNaharotBavel-Amkreut&amp;Freund1909</t>
        </is>
      </c>
      <c r="B3" t="inlineStr">
        <is>
          <t>אלע</t>
        </is>
      </c>
      <c r="C3" t="inlineStr">
        <is>
          <t>alle</t>
        </is>
      </c>
      <c r="D3" t="n">
        <v>42</v>
      </c>
      <c r="E3">
        <f>HYPERLINK($J$1&amp;H3&amp;"/detail/"&amp;I3,"p."&amp;I3)</f>
        <v/>
      </c>
      <c r="H3" t="n">
        <v>820975</v>
      </c>
      <c r="I3" t="n">
        <v>7</v>
      </c>
    </row>
    <row r="4">
      <c r="A4" t="inlineStr">
        <is>
          <t>AlNaharotBavel-Amkreut&amp;Freund1909</t>
        </is>
      </c>
      <c r="B4" t="inlineStr">
        <is>
          <t>אֶלְיָקים אוּן אַלֶע</t>
        </is>
      </c>
      <c r="C4" t="inlineStr">
        <is>
          <t>alle</t>
        </is>
      </c>
      <c r="D4" t="n">
        <v>2</v>
      </c>
      <c r="E4">
        <f>HYPERLINK($J$1&amp;H4&amp;"/detail/"&amp;I4,"p."&amp;I4)</f>
        <v/>
      </c>
      <c r="H4" t="n">
        <v>820975</v>
      </c>
      <c r="I4" t="n">
        <v>37</v>
      </c>
    </row>
    <row r="5">
      <c r="A5" t="inlineStr">
        <is>
          <t>AlNaharotBavel-Amkreut&amp;Freund1909</t>
        </is>
      </c>
      <c r="B5" t="inlineStr">
        <is>
          <t>דיך</t>
        </is>
      </c>
      <c r="C5" t="inlineStr">
        <is>
          <t>דָוִד (dovid)</t>
        </is>
      </c>
      <c r="D5" t="n">
        <v>2</v>
      </c>
      <c r="E5">
        <f>HYPERLINK($J$1&amp;H5&amp;"/detail/"&amp;I5,"p."&amp;I5)</f>
        <v/>
      </c>
      <c r="H5" t="n">
        <v>820975</v>
      </c>
      <c r="I5" t="n">
        <v>29</v>
      </c>
    </row>
    <row r="6">
      <c r="A6" t="inlineStr">
        <is>
          <t>AlNaharotBavel-Amkreut&amp;Freund1909</t>
        </is>
      </c>
      <c r="B6" t="inlineStr">
        <is>
          <t>פּריסטער</t>
        </is>
      </c>
      <c r="C6" t="inlineStr">
        <is>
          <t>קוּלְיַאן (kulyan)</t>
        </is>
      </c>
      <c r="D6" t="n">
        <v>2</v>
      </c>
      <c r="E6">
        <f>HYPERLINK($J$1&amp;H6&amp;"/detail/"&amp;I6,"p."&amp;I6)</f>
        <v/>
      </c>
      <c r="H6" t="n">
        <v>820975</v>
      </c>
      <c r="I6" t="n">
        <v>58</v>
      </c>
    </row>
    <row r="7">
      <c r="A7" t="inlineStr">
        <is>
          <t>AlNaharotBavel-Amkreut&amp;Freund1909</t>
        </is>
      </c>
      <c r="B7" t="inlineStr">
        <is>
          <t>שטימען</t>
        </is>
      </c>
      <c r="C7" t="inlineStr">
        <is>
          <t>alle</t>
        </is>
      </c>
      <c r="D7" t="n">
        <v>2</v>
      </c>
      <c r="E7">
        <f>HYPERLINK($J$1&amp;H7&amp;"/detail/"&amp;I7,"p."&amp;I7)</f>
        <v/>
      </c>
      <c r="H7" t="n">
        <v>820975</v>
      </c>
      <c r="I7" t="n">
        <v>58</v>
      </c>
    </row>
    <row r="8">
      <c r="A8" t="inlineStr">
        <is>
          <t>Blimele-AhronFaust1903</t>
        </is>
      </c>
      <c r="B8" t="inlineStr">
        <is>
          <t>ער</t>
        </is>
      </c>
      <c r="C8" t="inlineStr">
        <is>
          <t>זֶעלִיקֶעל מְנַגֵן (zelikel_mnagen)</t>
        </is>
      </c>
      <c r="D8" t="n">
        <v>8</v>
      </c>
      <c r="E8">
        <f>HYPERLINK($J$1&amp;H8&amp;"/detail/"&amp;I8,"p."&amp;I8)</f>
        <v/>
      </c>
      <c r="H8" t="n">
        <v>828455</v>
      </c>
      <c r="I8" t="n">
        <v>13</v>
      </c>
    </row>
    <row r="9">
      <c r="A9" t="inlineStr">
        <is>
          <t>Blimele-AhronFaust1903</t>
        </is>
      </c>
      <c r="B9" t="inlineStr">
        <is>
          <t>זיא</t>
        </is>
      </c>
      <c r="C9" t="inlineStr">
        <is>
          <t>צִיערֶעלֶע (tsierele)</t>
        </is>
      </c>
      <c r="D9" t="n">
        <v>6</v>
      </c>
      <c r="E9">
        <f>HYPERLINK($J$1&amp;H9&amp;"/detail/"&amp;I9,"p."&amp;I9)</f>
        <v/>
      </c>
      <c r="H9" t="n">
        <v>828455</v>
      </c>
      <c r="I9" t="n">
        <v>13</v>
      </c>
    </row>
    <row r="10">
      <c r="A10" t="inlineStr">
        <is>
          <t>Blimele-AhronFaust1903</t>
        </is>
      </c>
      <c r="B10" t="inlineStr">
        <is>
          <t>זיא</t>
        </is>
      </c>
      <c r="C10" t="inlineStr">
        <is>
          <t>בְּלִיהמֶעלע (blimele)</t>
        </is>
      </c>
      <c r="D10" t="n">
        <v>2</v>
      </c>
      <c r="E10">
        <f>HYPERLINK($J$1&amp;H10&amp;"/detail/"&amp;I10,"p."&amp;I10)</f>
        <v/>
      </c>
      <c r="H10" t="n">
        <v>828455</v>
      </c>
      <c r="I10" t="n">
        <v>63</v>
      </c>
    </row>
    <row r="11">
      <c r="A11" t="inlineStr">
        <is>
          <t>Blimele-AhronFaust1903</t>
        </is>
      </c>
      <c r="B11" t="inlineStr">
        <is>
          <t>דאניאל בליהמעלע דועט</t>
        </is>
      </c>
      <c r="C11" t="inlineStr">
        <is>
          <t>doktor_daniel blimele</t>
        </is>
      </c>
      <c r="D11" t="n">
        <v>1</v>
      </c>
      <c r="E11">
        <f>HYPERLINK($J$1&amp;H11&amp;"/detail/"&amp;I11,"p."&amp;I11)</f>
        <v/>
      </c>
      <c r="H11" t="n">
        <v>828455</v>
      </c>
      <c r="I11" t="n">
        <v>16</v>
      </c>
    </row>
    <row r="12">
      <c r="A12" t="inlineStr">
        <is>
          <t>Blimele-AhronFaust1903</t>
        </is>
      </c>
      <c r="B12" t="inlineStr">
        <is>
          <t>דועט ביידע</t>
        </is>
      </c>
      <c r="C12" t="inlineStr">
        <is>
          <t>zelikel_mnagen tsierele</t>
        </is>
      </c>
      <c r="D12" t="n">
        <v>1</v>
      </c>
      <c r="E12">
        <f>HYPERLINK($J$1&amp;H12&amp;"/detail/"&amp;I12,"p."&amp;I12)</f>
        <v/>
      </c>
      <c r="H12" t="n">
        <v>828455</v>
      </c>
      <c r="I12" t="n">
        <v>13</v>
      </c>
    </row>
    <row r="13">
      <c r="A13" t="inlineStr">
        <is>
          <t>Blimele-AhronFaust1903</t>
        </is>
      </c>
      <c r="B13" t="inlineStr">
        <is>
          <t>טויבען</t>
        </is>
      </c>
      <c r="C13" t="inlineStr">
        <is>
          <t>zelikel_mnagen tsierele</t>
        </is>
      </c>
      <c r="D13" t="n">
        <v>1</v>
      </c>
      <c r="E13">
        <f>HYPERLINK($J$1&amp;H13&amp;"/detail/"&amp;I13,"p."&amp;I13)</f>
        <v/>
      </c>
      <c r="H13" t="n">
        <v>828455</v>
      </c>
      <c r="I13" t="n">
        <v>63</v>
      </c>
    </row>
    <row r="14">
      <c r="A14" t="inlineStr">
        <is>
          <t>Blimele-AhronFaust1903</t>
        </is>
      </c>
      <c r="B14" t="inlineStr">
        <is>
          <t>ליעפע דאניאל זעליקל</t>
        </is>
      </c>
      <c r="C14" t="inlineStr">
        <is>
          <t>liepe doktor_daniel zelikel_mnagen</t>
        </is>
      </c>
      <c r="D14" t="n">
        <v>1</v>
      </c>
      <c r="E14">
        <f>HYPERLINK($J$1&amp;H14&amp;"/detail/"&amp;I14,"p."&amp;I14)</f>
        <v/>
      </c>
      <c r="H14" t="n">
        <v>828455</v>
      </c>
      <c r="I14" t="n">
        <v>41</v>
      </c>
    </row>
    <row r="15">
      <c r="A15" t="inlineStr">
        <is>
          <t>Blimele-AhronFaust1903</t>
        </is>
      </c>
      <c r="B15" t="inlineStr">
        <is>
          <t>ער</t>
        </is>
      </c>
      <c r="C15" t="inlineStr">
        <is>
          <t>דאקְטָאר דַאנִיאֵל (doktor_daniel)</t>
        </is>
      </c>
      <c r="D15" t="n">
        <v>1</v>
      </c>
      <c r="E15">
        <f>HYPERLINK($J$1&amp;H15&amp;"/detail/"&amp;I15,"p."&amp;I15)</f>
        <v/>
      </c>
      <c r="H15" t="n">
        <v>828455</v>
      </c>
      <c r="I15" t="n">
        <v>63</v>
      </c>
    </row>
    <row r="16">
      <c r="A16" t="inlineStr">
        <is>
          <t>Blimele-AhronFaust1903</t>
        </is>
      </c>
      <c r="B16" t="inlineStr">
        <is>
          <t>ציגיינער</t>
        </is>
      </c>
      <c r="C16" t="inlineStr">
        <is>
          <t>doktor_daniel blimele</t>
        </is>
      </c>
      <c r="D16" t="n">
        <v>1</v>
      </c>
      <c r="E16">
        <f>HYPERLINK($J$1&amp;H16&amp;"/detail/"&amp;I16,"p."&amp;I16)</f>
        <v/>
      </c>
      <c r="H16" t="n">
        <v>828455</v>
      </c>
      <c r="I16" t="n">
        <v>63</v>
      </c>
    </row>
    <row r="17">
      <c r="A17" t="inlineStr">
        <is>
          <t>Di_seyder_nakht_Emkroyt_1908</t>
        </is>
      </c>
      <c r="B17" t="inlineStr">
        <is>
          <t>סאלא אלט</t>
        </is>
      </c>
      <c r="C17" t="inlineStr">
        <is>
          <t>אַלט (alt)</t>
        </is>
      </c>
      <c r="D17" t="n">
        <v>2</v>
      </c>
      <c r="E17">
        <f>HYPERLINK($J$1&amp;H17&amp;"/detail/"&amp;I17,"p."&amp;I17)</f>
        <v/>
      </c>
      <c r="H17" t="n">
        <v>828503</v>
      </c>
      <c r="I17" t="n">
        <v>56</v>
      </c>
    </row>
    <row r="18">
      <c r="A18" t="inlineStr">
        <is>
          <t>DosYudisheHerts-1910</t>
        </is>
      </c>
      <c r="B18" t="inlineStr">
        <is>
          <t>יעקב</t>
        </is>
      </c>
      <c r="C18" t="inlineStr">
        <is>
          <t>yankev_shtern</t>
        </is>
      </c>
      <c r="D18" t="n">
        <v>67</v>
      </c>
      <c r="E18">
        <f>HYPERLINK($J$1&amp;H18&amp;"/detail/"&amp;I18,"p."&amp;I18)</f>
        <v/>
      </c>
      <c r="H18" t="n">
        <v>820841</v>
      </c>
      <c r="I18" t="n">
        <v>9</v>
      </c>
    </row>
    <row r="19">
      <c r="A19" t="inlineStr">
        <is>
          <t>KidushHashem</t>
        </is>
      </c>
      <c r="B19" t="inlineStr">
        <is>
          <t>קעניג</t>
        </is>
      </c>
      <c r="C19" t="inlineStr">
        <is>
          <t>סַאנְקְטָא (sancto)</t>
        </is>
      </c>
      <c r="D19" t="n">
        <v>179</v>
      </c>
      <c r="E19">
        <f>HYPERLINK($J$1&amp;H19&amp;"/detail/"&amp;I19,"p."&amp;I19)</f>
        <v/>
      </c>
      <c r="H19" t="n">
        <v>820939</v>
      </c>
      <c r="I19" t="n">
        <v>12</v>
      </c>
    </row>
    <row r="20">
      <c r="A20" t="inlineStr">
        <is>
          <t>KidushHashem</t>
        </is>
      </c>
      <c r="B20" t="inlineStr">
        <is>
          <t>אלע</t>
        </is>
      </c>
      <c r="C20" t="inlineStr">
        <is>
          <t>alle</t>
        </is>
      </c>
      <c r="D20" t="n">
        <v>36</v>
      </c>
      <c r="E20">
        <f>HYPERLINK($J$1&amp;H20&amp;"/detail/"&amp;I20,"p."&amp;I20)</f>
        <v/>
      </c>
      <c r="H20" t="n">
        <v>820939</v>
      </c>
      <c r="I20" t="n">
        <v>11</v>
      </c>
    </row>
    <row r="21">
      <c r="A21" t="inlineStr">
        <is>
          <t>KidushHashem</t>
        </is>
      </c>
      <c r="B21" t="inlineStr">
        <is>
          <t>קעניגין</t>
        </is>
      </c>
      <c r="C21" t="inlineStr">
        <is>
          <t>הֶעלֶענַא (helena)</t>
        </is>
      </c>
      <c r="D21" t="n">
        <v>22</v>
      </c>
      <c r="E21">
        <f>HYPERLINK($J$1&amp;H21&amp;"/detail/"&amp;I21,"p."&amp;I21)</f>
        <v/>
      </c>
      <c r="H21" t="n">
        <v>820939</v>
      </c>
      <c r="I21" t="n">
        <v>39</v>
      </c>
    </row>
    <row r="22">
      <c r="A22" t="inlineStr">
        <is>
          <t>KidushHashem</t>
        </is>
      </c>
      <c r="B22" t="inlineStr">
        <is>
          <t>זי</t>
        </is>
      </c>
      <c r="C22" t="inlineStr">
        <is>
          <t>יוּלְיֶע (yulye)</t>
        </is>
      </c>
      <c r="D22" t="n">
        <v>12</v>
      </c>
      <c r="E22">
        <f>HYPERLINK($J$1&amp;H22&amp;"/detail/"&amp;I22,"p."&amp;I22)</f>
        <v/>
      </c>
      <c r="H22" t="n">
        <v>820939</v>
      </c>
      <c r="I22" t="n">
        <v>34</v>
      </c>
    </row>
    <row r="23">
      <c r="A23" t="inlineStr">
        <is>
          <t>KidushHashem</t>
        </is>
      </c>
      <c r="B23" t="inlineStr">
        <is>
          <t>ער</t>
        </is>
      </c>
      <c r="C23" t="inlineStr">
        <is>
          <t>טָאבִּיאַס (tobyas)</t>
        </is>
      </c>
      <c r="D23" t="n">
        <v>12</v>
      </c>
      <c r="E23">
        <f>HYPERLINK($J$1&amp;H23&amp;"/detail/"&amp;I23,"p."&amp;I23)</f>
        <v/>
      </c>
      <c r="H23" t="n">
        <v>820939</v>
      </c>
      <c r="I23" t="n">
        <v>34</v>
      </c>
    </row>
    <row r="24">
      <c r="A24" t="inlineStr">
        <is>
          <t>KidushHashem</t>
        </is>
      </c>
      <c r="B24" t="inlineStr">
        <is>
          <t>ביידע</t>
        </is>
      </c>
      <c r="C24" t="inlineStr">
        <is>
          <t>tobyas_yulye</t>
        </is>
      </c>
      <c r="D24" t="n">
        <v>6</v>
      </c>
      <c r="E24">
        <f>HYPERLINK($J$1&amp;H24&amp;"/detail/"&amp;I24,"p."&amp;I24)</f>
        <v/>
      </c>
      <c r="H24" t="n">
        <v>820939</v>
      </c>
      <c r="I24" t="n">
        <v>53</v>
      </c>
    </row>
    <row r="25">
      <c r="A25" t="inlineStr">
        <is>
          <t>KidushHashem</t>
        </is>
      </c>
      <c r="B25" t="inlineStr">
        <is>
          <t>קֶענִיג</t>
        </is>
      </c>
      <c r="C25" t="inlineStr">
        <is>
          <t>סַאנְקְטָא (sancto)</t>
        </is>
      </c>
      <c r="D25" t="n">
        <v>4</v>
      </c>
      <c r="E25">
        <f>HYPERLINK($J$1&amp;H25&amp;"/detail/"&amp;I25,"p."&amp;I25)</f>
        <v/>
      </c>
      <c r="H25" t="n">
        <v>820939</v>
      </c>
      <c r="I25" t="n">
        <v>45</v>
      </c>
    </row>
    <row r="26">
      <c r="A26" t="inlineStr">
        <is>
          <t>KidushHashem</t>
        </is>
      </c>
      <c r="B26" t="inlineStr">
        <is>
          <t>וועכטער</t>
        </is>
      </c>
      <c r="C26" t="inlineStr">
        <is>
          <t>vekhter</t>
        </is>
      </c>
      <c r="D26" t="n">
        <v>2</v>
      </c>
      <c r="E26">
        <f>HYPERLINK($J$1&amp;H26&amp;"/detail/"&amp;I26,"p."&amp;I26)</f>
        <v/>
      </c>
      <c r="H26" t="n">
        <v>820939</v>
      </c>
      <c r="I26" t="n">
        <v>66</v>
      </c>
    </row>
    <row r="27">
      <c r="A27" t="inlineStr">
        <is>
          <t>KidushHashem</t>
        </is>
      </c>
      <c r="B27" t="inlineStr">
        <is>
          <t>יוּלְיֶע אוּן טָאבִּיאַס</t>
        </is>
      </c>
      <c r="C27" t="inlineStr">
        <is>
          <t>tobyas_yulye</t>
        </is>
      </c>
      <c r="D27" t="n">
        <v>2</v>
      </c>
      <c r="E27">
        <f>HYPERLINK($J$1&amp;H27&amp;"/detail/"&amp;I27,"p."&amp;I27)</f>
        <v/>
      </c>
      <c r="H27" t="n">
        <v>820939</v>
      </c>
      <c r="I27" t="n">
        <v>55</v>
      </c>
    </row>
    <row r="28">
      <c r="A28" t="inlineStr">
        <is>
          <t>KidushHashem</t>
        </is>
      </c>
      <c r="B28" t="inlineStr">
        <is>
          <t>סאלא</t>
        </is>
      </c>
      <c r="C28" t="inlineStr">
        <is>
          <t>אַבְרָהָם בֶּן אֵלְִיָהוּ אַבַּארְבַּאנְעֶל (avraham_abarbanel)</t>
        </is>
      </c>
      <c r="D28" t="n">
        <v>2</v>
      </c>
      <c r="E28">
        <f>HYPERLINK($J$1&amp;H28&amp;"/detail/"&amp;I28,"p."&amp;I28)</f>
        <v/>
      </c>
      <c r="H28" t="n">
        <v>820939</v>
      </c>
      <c r="I28" t="n">
        <v>67</v>
      </c>
    </row>
    <row r="29">
      <c r="A29" t="inlineStr">
        <is>
          <t>KidushHashem</t>
        </is>
      </c>
      <c r="B29" t="inlineStr">
        <is>
          <t>קֶענִיגִין</t>
        </is>
      </c>
      <c r="C29" t="inlineStr">
        <is>
          <t>הֶעלֶענַא (helena)</t>
        </is>
      </c>
      <c r="D29" t="n">
        <v>2</v>
      </c>
      <c r="E29">
        <f>HYPERLINK($J$1&amp;H29&amp;"/detail/"&amp;I29,"p."&amp;I29)</f>
        <v/>
      </c>
      <c r="H29" t="n">
        <v>820939</v>
      </c>
      <c r="I29" t="n">
        <v>46</v>
      </c>
    </row>
    <row r="30">
      <c r="A30" t="inlineStr">
        <is>
          <t>KidushHashem</t>
        </is>
      </c>
      <c r="B30" t="inlineStr">
        <is>
          <t>קענינ</t>
        </is>
      </c>
      <c r="C30" t="inlineStr">
        <is>
          <t>סַאנְקְטָא (sancto)</t>
        </is>
      </c>
      <c r="D30" t="n">
        <v>1</v>
      </c>
      <c r="E30">
        <f>HYPERLINK($J$1&amp;H30&amp;"/detail/"&amp;I30,"p."&amp;I30)</f>
        <v/>
      </c>
      <c r="H30" t="n">
        <v>820939</v>
      </c>
      <c r="I30" t="n">
        <v>45</v>
      </c>
    </row>
    <row r="31">
      <c r="A31" t="inlineStr">
        <is>
          <t>MishkeMashke-Kultur1910</t>
        </is>
      </c>
      <c r="B31" t="inlineStr">
        <is>
          <t>אלע</t>
        </is>
      </c>
      <c r="C31" t="inlineStr">
        <is>
          <t>alle</t>
        </is>
      </c>
      <c r="D31" t="n">
        <v>7</v>
      </c>
      <c r="E31">
        <f>HYPERLINK($J$1&amp;H31&amp;"/detail/"&amp;I31,"p."&amp;I31)</f>
        <v/>
      </c>
      <c r="H31" t="n">
        <v>828537</v>
      </c>
      <c r="I31" t="n">
        <v>15</v>
      </c>
    </row>
    <row r="32">
      <c r="A32" t="inlineStr">
        <is>
          <t>MishkeMashke-Kultur1910</t>
        </is>
      </c>
      <c r="B32" t="inlineStr">
        <is>
          <t>רוס</t>
        </is>
      </c>
      <c r="C32" t="inlineStr">
        <is>
          <t>דוס (dos)</t>
        </is>
      </c>
      <c r="D32" t="n">
        <v>2</v>
      </c>
      <c r="E32">
        <f>HYPERLINK($J$1&amp;H32&amp;"/detail/"&amp;I32,"p."&amp;I32)</f>
        <v/>
      </c>
      <c r="H32" t="n">
        <v>828537</v>
      </c>
      <c r="I32" t="n">
        <v>10</v>
      </c>
    </row>
    <row r="33">
      <c r="A33" t="inlineStr">
        <is>
          <t>SoreSheyndel</t>
        </is>
      </c>
      <c r="B33" t="inlineStr">
        <is>
          <t>אברהמעלע</t>
        </is>
      </c>
      <c r="C33" t="inlineStr">
        <is>
          <t>avromele</t>
        </is>
      </c>
      <c r="D33" t="n">
        <v>3</v>
      </c>
      <c r="E33">
        <f>HYPERLINK($J$1&amp;H33&amp;"/detail/"&amp;I33,"p."&amp;I33)</f>
        <v/>
      </c>
      <c r="H33" t="n">
        <v>820964</v>
      </c>
      <c r="I33" t="n">
        <v>38</v>
      </c>
    </row>
    <row r="34">
      <c r="A34" t="inlineStr">
        <is>
          <t>SoreSheyndel</t>
        </is>
      </c>
      <c r="B34" t="inlineStr">
        <is>
          <t>חנהלע</t>
        </is>
      </c>
      <c r="C34" t="inlineStr">
        <is>
          <t>אלע (alle)</t>
        </is>
      </c>
      <c r="D34" t="n">
        <v>1</v>
      </c>
      <c r="E34">
        <f>HYPERLINK($J$1&amp;H34&amp;"/detail/"&amp;I34,"p."&amp;I34)</f>
        <v/>
      </c>
      <c r="H34" t="n">
        <v>820964</v>
      </c>
      <c r="I34" t="n">
        <v>33</v>
      </c>
    </row>
    <row r="35">
      <c r="A35" t="inlineStr">
        <is>
          <t>SoreSheyndel</t>
        </is>
      </c>
      <c r="B35" t="inlineStr">
        <is>
          <t>יוחנצי שרה שיינדעל</t>
        </is>
      </c>
      <c r="C35" t="inlineStr">
        <is>
          <t>rb_iukhntsi shrh_sheyndel</t>
        </is>
      </c>
      <c r="D35" t="n">
        <v>1</v>
      </c>
      <c r="E35">
        <f>HYPERLINK($J$1&amp;H35&amp;"/detail/"&amp;I35,"p."&amp;I35)</f>
        <v/>
      </c>
      <c r="H35" t="n">
        <v>820964</v>
      </c>
      <c r="I35" t="n">
        <v>22</v>
      </c>
    </row>
    <row r="36">
      <c r="A36" t="inlineStr">
        <is>
          <t>SoreSheyndel</t>
        </is>
      </c>
      <c r="B36" t="inlineStr">
        <is>
          <t>יוחנצי-שרה שיינדעל</t>
        </is>
      </c>
      <c r="C36" t="inlineStr">
        <is>
          <t>rb_iukhntsi shrh_sheyndel</t>
        </is>
      </c>
      <c r="D36" t="n">
        <v>1</v>
      </c>
      <c r="E36">
        <f>HYPERLINK($J$1&amp;H36&amp;"/detail/"&amp;I36,"p."&amp;I36)</f>
        <v/>
      </c>
      <c r="H36" t="n">
        <v>820964</v>
      </c>
      <c r="I36" t="n">
        <v>13</v>
      </c>
    </row>
    <row r="37">
      <c r="A37" t="inlineStr">
        <is>
          <t>Yudale_der_blinder,_Emkroyt1908</t>
        </is>
      </c>
      <c r="B37" t="inlineStr">
        <is>
          <t>אלע</t>
        </is>
      </c>
      <c r="C37" t="inlineStr">
        <is>
          <t>alle</t>
        </is>
      </c>
      <c r="D37" t="n">
        <v>26</v>
      </c>
      <c r="E37">
        <f>HYPERLINK($J$1&amp;H37&amp;"/detail/"&amp;I37,"p."&amp;I37)</f>
        <v/>
      </c>
      <c r="H37" t="n">
        <v>828539</v>
      </c>
      <c r="I37" t="n">
        <v>6</v>
      </c>
    </row>
    <row r="38">
      <c r="A38" t="inlineStr">
        <is>
          <t>דאס_יידישע_קינד_Dos_yudishe_kind_a_komishe_operete</t>
        </is>
      </c>
      <c r="B38" t="inlineStr">
        <is>
          <t>זי</t>
        </is>
      </c>
      <c r="C38" t="inlineStr">
        <is>
          <t>הֶענֶעלֶע (henele)</t>
        </is>
      </c>
      <c r="D38" t="n">
        <v>5</v>
      </c>
      <c r="E38">
        <f>HYPERLINK($J$1&amp;H38&amp;"/detail/"&amp;I38,"p."&amp;I38)</f>
        <v/>
      </c>
      <c r="H38" t="n">
        <v>828424</v>
      </c>
      <c r="I38" t="n">
        <v>20</v>
      </c>
    </row>
    <row r="39">
      <c r="A39" t="inlineStr">
        <is>
          <t>דאס_יידישע_קינד_Dos_yudishe_kind_a_komishe_operete</t>
        </is>
      </c>
      <c r="B39" t="inlineStr">
        <is>
          <t>ער</t>
        </is>
      </c>
      <c r="C39" t="inlineStr">
        <is>
          <t>וולאדִיסלאוו (vladislav)</t>
        </is>
      </c>
      <c r="D39" t="n">
        <v>5</v>
      </c>
      <c r="E39">
        <f>HYPERLINK($J$1&amp;H39&amp;"/detail/"&amp;I39,"p."&amp;I39)</f>
        <v/>
      </c>
      <c r="H39" t="n">
        <v>828424</v>
      </c>
      <c r="I39" t="n">
        <v>20</v>
      </c>
    </row>
  </sheetData>
  <dataValidations count="9">
    <dataValidation sqref="F2:F7" showErrorMessage="1" showDropDown="0" showInputMessage="1" allowBlank="1" type="list">
      <formula1>=Roles_1</formula1>
    </dataValidation>
    <dataValidation sqref="F8:F16" showErrorMessage="1" showDropDown="0" showInputMessage="1" allowBlank="1" type="list">
      <formula1>=Roles_3</formula1>
    </dataValidation>
    <dataValidation sqref="F17" showErrorMessage="1" showDropDown="0" showInputMessage="1" allowBlank="1" type="list">
      <formula1>=Roles_5</formula1>
    </dataValidation>
    <dataValidation sqref="F18" showErrorMessage="1" showDropDown="0" showInputMessage="1" allowBlank="1" type="list">
      <formula1>=Roles_6</formula1>
    </dataValidation>
    <dataValidation sqref="F19:F30" showErrorMessage="1" showDropDown="0" showInputMessage="1" allowBlank="1" type="list">
      <formula1>=Roles_11</formula1>
    </dataValidation>
    <dataValidation sqref="F31:F32" showErrorMessage="1" showDropDown="0" showInputMessage="1" allowBlank="1" type="list">
      <formula1>=Roles_12</formula1>
    </dataValidation>
    <dataValidation sqref="F33:F36" showErrorMessage="1" showDropDown="0" showInputMessage="1" allowBlank="1" type="list">
      <formula1>=Roles_13</formula1>
    </dataValidation>
    <dataValidation sqref="F37" showErrorMessage="1" showDropDown="0" showInputMessage="1" allowBlank="1" type="list">
      <formula1>=Roles_14</formula1>
    </dataValidation>
    <dataValidation sqref="F38:F39" showErrorMessage="1" showDropDown="0" showInputMessage="1" allowBlank="1" type="list">
      <formula1>=Roles_15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2026-07-21T11:45:27Z</dcterms:created>
  <dcterms:modified xmlns:dcterms="http://purl.org/dc/terms/" xmlns:xsi="http://www.w3.org/2001/XMLSchema-instance" xsi:type="dcterms:W3CDTF">2026-07-21T11:45:27Z</dcterms:modified>
</cp:coreProperties>
</file>